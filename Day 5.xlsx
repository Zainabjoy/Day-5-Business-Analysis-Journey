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1FE104FA-16B8-4401-9887-B7888AA516FA}" xr6:coauthVersionLast="47" xr6:coauthVersionMax="47" xr10:uidLastSave="{00000000-0000-0000-0000-000000000000}"/>
  <bookViews>
    <workbookView xWindow="-120" yWindow="-120" windowWidth="20730" windowHeight="11160" xr2:uid="{AF2162BE-2988-44A2-B0DF-52861C6A2065}"/>
  </bookViews>
  <sheets>
    <sheet name="Basketball jersey" sheetId="1" r:id="rId1"/>
    <sheet name="MLB Umpire Assignment" sheetId="2" r:id="rId2"/>
    <sheet name="New Hire Assignments" sheetId="3" r:id="rId3"/>
    <sheet name="college’s business department" sheetId="4" r:id="rId4"/>
  </sheets>
  <definedNames>
    <definedName name="solver_adj" localSheetId="0" hidden="1">'Basketball jersey'!$D$4:$D$12</definedName>
    <definedName name="solver_adj" localSheetId="3" hidden="1">'college’s business department'!$B$12:$E$15</definedName>
    <definedName name="solver_adj" localSheetId="1" hidden="1">'MLB Umpire Assignment'!$B$13:$E$16</definedName>
    <definedName name="solver_adj" localSheetId="2" hidden="1">'New Hire Assignments'!$B$12:$E$14</definedName>
    <definedName name="solver_cvg" localSheetId="0" hidden="1">0.0001</definedName>
    <definedName name="solver_cvg" localSheetId="3" hidden="1">0.0001</definedName>
    <definedName name="solver_cvg" localSheetId="1" hidden="1">0.0001</definedName>
    <definedName name="solver_cvg" localSheetId="2" hidden="1">0.0001</definedName>
    <definedName name="solver_drv" localSheetId="0" hidden="1">1</definedName>
    <definedName name="solver_drv" localSheetId="3" hidden="1">2</definedName>
    <definedName name="solver_drv" localSheetId="1" hidden="1">1</definedName>
    <definedName name="solver_drv" localSheetId="2" hidden="1">1</definedName>
    <definedName name="solver_eng" localSheetId="0" hidden="1">2</definedName>
    <definedName name="solver_eng" localSheetId="3" hidden="1">2</definedName>
    <definedName name="solver_eng" localSheetId="1" hidden="1">2</definedName>
    <definedName name="solver_eng" localSheetId="2" hidden="1">2</definedName>
    <definedName name="solver_est" localSheetId="0" hidden="1">1</definedName>
    <definedName name="solver_est" localSheetId="3" hidden="1">1</definedName>
    <definedName name="solver_est" localSheetId="1" hidden="1">1</definedName>
    <definedName name="solver_est" localSheetId="2" hidden="1">1</definedName>
    <definedName name="solver_itr" localSheetId="0" hidden="1">2147483647</definedName>
    <definedName name="solver_itr" localSheetId="3" hidden="1">2147483647</definedName>
    <definedName name="solver_itr" localSheetId="1" hidden="1">2147483647</definedName>
    <definedName name="solver_itr" localSheetId="2" hidden="1">2147483647</definedName>
    <definedName name="solver_lhs1" localSheetId="0" hidden="1">'Basketball jersey'!$B$17:$B$19</definedName>
    <definedName name="solver_lhs1" localSheetId="3" hidden="1">'college’s business department'!$B$16:$E$16</definedName>
    <definedName name="solver_lhs1" localSheetId="1" hidden="1">'MLB Umpire Assignment'!$B$17:$E$17</definedName>
    <definedName name="solver_lhs1" localSheetId="2" hidden="1">'New Hire Assignments'!$B$15:$E$15</definedName>
    <definedName name="solver_lhs2" localSheetId="0" hidden="1">'Basketball jersey'!$B$23:$B$25</definedName>
    <definedName name="solver_lhs2" localSheetId="3" hidden="1">'college’s business department'!$F$12:$F$15</definedName>
    <definedName name="solver_lhs2" localSheetId="1" hidden="1">'MLB Umpire Assignment'!$E$15</definedName>
    <definedName name="solver_lhs2" localSheetId="2" hidden="1">'New Hire Assignments'!$F$12:$F$14</definedName>
    <definedName name="solver_lhs3" localSheetId="1" hidden="1">'MLB Umpire Assignment'!$F$13:$F$16</definedName>
    <definedName name="solver_mip" localSheetId="0" hidden="1">2147483647</definedName>
    <definedName name="solver_mip" localSheetId="3" hidden="1">2147483647</definedName>
    <definedName name="solver_mip" localSheetId="1" hidden="1">2147483647</definedName>
    <definedName name="solver_mip" localSheetId="2" hidden="1">2147483647</definedName>
    <definedName name="solver_mni" localSheetId="0" hidden="1">30</definedName>
    <definedName name="solver_mni" localSheetId="3" hidden="1">30</definedName>
    <definedName name="solver_mni" localSheetId="1" hidden="1">30</definedName>
    <definedName name="solver_mni" localSheetId="2" hidden="1">30</definedName>
    <definedName name="solver_mrt" localSheetId="0" hidden="1">0.075</definedName>
    <definedName name="solver_mrt" localSheetId="3" hidden="1">0.075</definedName>
    <definedName name="solver_mrt" localSheetId="1" hidden="1">0.075</definedName>
    <definedName name="solver_mrt" localSheetId="2" hidden="1">0.075</definedName>
    <definedName name="solver_msl" localSheetId="0" hidden="1">2</definedName>
    <definedName name="solver_msl" localSheetId="3" hidden="1">2</definedName>
    <definedName name="solver_msl" localSheetId="1" hidden="1">2</definedName>
    <definedName name="solver_msl" localSheetId="2" hidden="1">2</definedName>
    <definedName name="solver_neg" localSheetId="0" hidden="1">1</definedName>
    <definedName name="solver_neg" localSheetId="3" hidden="1">1</definedName>
    <definedName name="solver_neg" localSheetId="1" hidden="1">1</definedName>
    <definedName name="solver_neg" localSheetId="2" hidden="1">1</definedName>
    <definedName name="solver_nod" localSheetId="0" hidden="1">2147483647</definedName>
    <definedName name="solver_nod" localSheetId="3" hidden="1">2147483647</definedName>
    <definedName name="solver_nod" localSheetId="1" hidden="1">2147483647</definedName>
    <definedName name="solver_nod" localSheetId="2" hidden="1">2147483647</definedName>
    <definedName name="solver_num" localSheetId="0" hidden="1">2</definedName>
    <definedName name="solver_num" localSheetId="3" hidden="1">2</definedName>
    <definedName name="solver_num" localSheetId="1" hidden="1">3</definedName>
    <definedName name="solver_num" localSheetId="2" hidden="1">2</definedName>
    <definedName name="solver_nwt" localSheetId="0" hidden="1">1</definedName>
    <definedName name="solver_nwt" localSheetId="3" hidden="1">1</definedName>
    <definedName name="solver_nwt" localSheetId="1" hidden="1">1</definedName>
    <definedName name="solver_nwt" localSheetId="2" hidden="1">1</definedName>
    <definedName name="solver_opt" localSheetId="0" hidden="1">'Basketball jersey'!$B$27</definedName>
    <definedName name="solver_opt" localSheetId="3" hidden="1">'college’s business department'!$B$21</definedName>
    <definedName name="solver_opt" localSheetId="1" hidden="1">'MLB Umpire Assignment'!$B$22</definedName>
    <definedName name="solver_opt" localSheetId="2" hidden="1">'New Hire Assignments'!$B$19</definedName>
    <definedName name="solver_pre" localSheetId="0" hidden="1">0.000001</definedName>
    <definedName name="solver_pre" localSheetId="3" hidden="1">0.000001</definedName>
    <definedName name="solver_pre" localSheetId="1" hidden="1">0.000001</definedName>
    <definedName name="solver_pre" localSheetId="2" hidden="1">0.000001</definedName>
    <definedName name="solver_rbv" localSheetId="0" hidden="1">1</definedName>
    <definedName name="solver_rbv" localSheetId="3" hidden="1">2</definedName>
    <definedName name="solver_rbv" localSheetId="1" hidden="1">1</definedName>
    <definedName name="solver_rbv" localSheetId="2" hidden="1">1</definedName>
    <definedName name="solver_rel1" localSheetId="0" hidden="1">1</definedName>
    <definedName name="solver_rel1" localSheetId="3" hidden="1">2</definedName>
    <definedName name="solver_rel1" localSheetId="1" hidden="1">2</definedName>
    <definedName name="solver_rel1" localSheetId="2" hidden="1">1</definedName>
    <definedName name="solver_rel2" localSheetId="0" hidden="1">2</definedName>
    <definedName name="solver_rel2" localSheetId="3" hidden="1">2</definedName>
    <definedName name="solver_rel2" localSheetId="1" hidden="1">2</definedName>
    <definedName name="solver_rel2" localSheetId="2" hidden="1">2</definedName>
    <definedName name="solver_rel3" localSheetId="1" hidden="1">2</definedName>
    <definedName name="solver_rhs1" localSheetId="0" hidden="1">'Basketball jersey'!$D$17:$D$19</definedName>
    <definedName name="solver_rhs1" localSheetId="3" hidden="1">1</definedName>
    <definedName name="solver_rhs1" localSheetId="1" hidden="1">1</definedName>
    <definedName name="solver_rhs1" localSheetId="2" hidden="1">'New Hire Assignments'!$B$17:$E$17</definedName>
    <definedName name="solver_rhs2" localSheetId="0" hidden="1">'Basketball jersey'!$D$23:$D$25</definedName>
    <definedName name="solver_rhs2" localSheetId="3" hidden="1">1</definedName>
    <definedName name="solver_rhs2" localSheetId="1" hidden="1">0</definedName>
    <definedName name="solver_rhs2" localSheetId="2" hidden="1">'New Hire Assignments'!$H$12:$H$14</definedName>
    <definedName name="solver_rhs3" localSheetId="1" hidden="1">1</definedName>
    <definedName name="solver_rlx" localSheetId="0" hidden="1">2</definedName>
    <definedName name="solver_rlx" localSheetId="3" hidden="1">2</definedName>
    <definedName name="solver_rlx" localSheetId="1" hidden="1">2</definedName>
    <definedName name="solver_rlx" localSheetId="2" hidden="1">2</definedName>
    <definedName name="solver_rsd" localSheetId="0" hidden="1">0</definedName>
    <definedName name="solver_rsd" localSheetId="3" hidden="1">0</definedName>
    <definedName name="solver_rsd" localSheetId="1" hidden="1">0</definedName>
    <definedName name="solver_rsd" localSheetId="2" hidden="1">0</definedName>
    <definedName name="solver_scl" localSheetId="0" hidden="1">1</definedName>
    <definedName name="solver_scl" localSheetId="3" hidden="1">2</definedName>
    <definedName name="solver_scl" localSheetId="1" hidden="1">1</definedName>
    <definedName name="solver_scl" localSheetId="2" hidden="1">1</definedName>
    <definedName name="solver_sho" localSheetId="0" hidden="1">2</definedName>
    <definedName name="solver_sho" localSheetId="3" hidden="1">2</definedName>
    <definedName name="solver_sho" localSheetId="1" hidden="1">2</definedName>
    <definedName name="solver_sho" localSheetId="2" hidden="1">2</definedName>
    <definedName name="solver_ssz" localSheetId="0" hidden="1">100</definedName>
    <definedName name="solver_ssz" localSheetId="3" hidden="1">100</definedName>
    <definedName name="solver_ssz" localSheetId="1" hidden="1">100</definedName>
    <definedName name="solver_ssz" localSheetId="2" hidden="1">100</definedName>
    <definedName name="solver_tim" localSheetId="0" hidden="1">2147483647</definedName>
    <definedName name="solver_tim" localSheetId="3" hidden="1">2147483647</definedName>
    <definedName name="solver_tim" localSheetId="1" hidden="1">2147483647</definedName>
    <definedName name="solver_tim" localSheetId="2" hidden="1">2147483647</definedName>
    <definedName name="solver_tol" localSheetId="0" hidden="1">0.01</definedName>
    <definedName name="solver_tol" localSheetId="3" hidden="1">0.01</definedName>
    <definedName name="solver_tol" localSheetId="1" hidden="1">0.01</definedName>
    <definedName name="solver_tol" localSheetId="2" hidden="1">0.01</definedName>
    <definedName name="solver_typ" localSheetId="0" hidden="1">1</definedName>
    <definedName name="solver_typ" localSheetId="3" hidden="1">1</definedName>
    <definedName name="solver_typ" localSheetId="1" hidden="1">2</definedName>
    <definedName name="solver_typ" localSheetId="2" hidden="1">2</definedName>
    <definedName name="solver_val" localSheetId="0" hidden="1">0</definedName>
    <definedName name="solver_val" localSheetId="3" hidden="1">0</definedName>
    <definedName name="solver_val" localSheetId="1" hidden="1">0</definedName>
    <definedName name="solver_val" localSheetId="2" hidden="1">0</definedName>
    <definedName name="solver_ver" localSheetId="0" hidden="1">3</definedName>
    <definedName name="solver_ver" localSheetId="3" hidden="1">3</definedName>
    <definedName name="solver_ver" localSheetId="1" hidden="1">3</definedName>
    <definedName name="solver_ver" localSheetId="2"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1" i="4" l="1"/>
  <c r="E16" i="4"/>
  <c r="D16" i="4"/>
  <c r="C16" i="4"/>
  <c r="B16" i="4"/>
  <c r="F15" i="4"/>
  <c r="F14" i="4"/>
  <c r="F13" i="4"/>
  <c r="F12" i="4"/>
  <c r="B19" i="3"/>
  <c r="E15" i="3"/>
  <c r="D15" i="3"/>
  <c r="C15" i="3"/>
  <c r="B15" i="3"/>
  <c r="F14" i="3"/>
  <c r="F13" i="3"/>
  <c r="F12" i="3"/>
  <c r="B22" i="2"/>
  <c r="E17" i="2"/>
  <c r="D17" i="2"/>
  <c r="C17" i="2"/>
  <c r="B17" i="2"/>
  <c r="F16" i="2"/>
  <c r="F15" i="2"/>
  <c r="F14" i="2"/>
  <c r="F13" i="2"/>
  <c r="B27" i="1"/>
  <c r="B25" i="1"/>
  <c r="B24" i="1"/>
  <c r="B23" i="1"/>
  <c r="B19" i="1"/>
  <c r="B18" i="1"/>
  <c r="B17" i="1"/>
  <c r="F24" i="1"/>
  <c r="D22" i="2"/>
  <c r="F25" i="1"/>
  <c r="F23" i="1"/>
  <c r="F18" i="1"/>
  <c r="C27" i="1"/>
  <c r="F19" i="1"/>
  <c r="F17" i="1"/>
</calcChain>
</file>

<file path=xl/sharedStrings.xml><?xml version="1.0" encoding="utf-8"?>
<sst xmlns="http://schemas.openxmlformats.org/spreadsheetml/2006/main" count="134" uniqueCount="60">
  <si>
    <t>Basketball jersey</t>
  </si>
  <si>
    <t>Closing Plant</t>
  </si>
  <si>
    <t>Opening Plant</t>
  </si>
  <si>
    <t>Jerseys/Day</t>
  </si>
  <si>
    <t>Workers</t>
  </si>
  <si>
    <t>A</t>
  </si>
  <si>
    <t>B</t>
  </si>
  <si>
    <t>C</t>
  </si>
  <si>
    <t>From</t>
  </si>
  <si>
    <t>Outflow</t>
  </si>
  <si>
    <t>Sign</t>
  </si>
  <si>
    <t>Capacity</t>
  </si>
  <si>
    <t>&lt;=</t>
  </si>
  <si>
    <t>To</t>
  </si>
  <si>
    <t>Inflow</t>
  </si>
  <si>
    <t>=</t>
  </si>
  <si>
    <t>Product (Max) Output</t>
  </si>
  <si>
    <t>MLB Umpire Assignment</t>
  </si>
  <si>
    <t>Distance (mil)</t>
  </si>
  <si>
    <t>To:</t>
  </si>
  <si>
    <t>Kansas City</t>
  </si>
  <si>
    <t>Chicago</t>
  </si>
  <si>
    <t>Detroit</t>
  </si>
  <si>
    <t>Toronto</t>
  </si>
  <si>
    <t>Seattle</t>
  </si>
  <si>
    <t>Arlington</t>
  </si>
  <si>
    <t>Oakland</t>
  </si>
  <si>
    <t>X</t>
  </si>
  <si>
    <t>Baltimore</t>
  </si>
  <si>
    <t>Assignments</t>
  </si>
  <si>
    <t>Total</t>
  </si>
  <si>
    <t>"Each Candidate get assigned an office"</t>
  </si>
  <si>
    <t xml:space="preserve">Obj (min) </t>
  </si>
  <si>
    <t>Distance (min)</t>
  </si>
  <si>
    <t>New Hire Assignments</t>
  </si>
  <si>
    <t xml:space="preserve">Cost Table (Given): </t>
  </si>
  <si>
    <t>Relocation</t>
  </si>
  <si>
    <t xml:space="preserve"> </t>
  </si>
  <si>
    <t>Omaha</t>
  </si>
  <si>
    <t>Miami</t>
  </si>
  <si>
    <t>Dallas</t>
  </si>
  <si>
    <t>New York</t>
  </si>
  <si>
    <t>Jones</t>
  </si>
  <si>
    <t>Smith</t>
  </si>
  <si>
    <t>Wilson</t>
  </si>
  <si>
    <t>Assignment Table:</t>
  </si>
  <si>
    <t>Total:</t>
  </si>
  <si>
    <t>Obj (min) cost</t>
  </si>
  <si>
    <t>College’s business department</t>
  </si>
  <si>
    <t>Teaching Rating</t>
  </si>
  <si>
    <t>Statistics</t>
  </si>
  <si>
    <t>Management</t>
  </si>
  <si>
    <t>Finance</t>
  </si>
  <si>
    <t>Economics</t>
  </si>
  <si>
    <t>Bain</t>
  </si>
  <si>
    <t>Carey</t>
  </si>
  <si>
    <t>Dio</t>
  </si>
  <si>
    <t>Powell</t>
  </si>
  <si>
    <t>Obj (max)</t>
  </si>
  <si>
    <t>Ratings(max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</si>
</sst>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_-[$$-409]* #,##0_ ;_-[$$-409]* \-#,##0\ ;_-[$$-409]* &quot;-&quot;??_ ;_-@_ "/>
  </numFmts>
  <fonts count="7" x14ac:knownFonts="1">
    <font>
      <sz val="11"/>
      <color theme="1"/>
      <name val="Calibri"/>
      <family val="2"/>
      <scheme val="minor"/>
    </font>
    <font>
      <sz val="11"/>
      <color theme="1"/>
      <name val="Calibri"/>
      <family val="2"/>
      <scheme val="minor"/>
    </font>
    <font>
      <b/>
      <sz val="11"/>
      <color theme="1"/>
      <name val="Calibri"/>
      <family val="2"/>
      <scheme val="minor"/>
    </font>
    <font>
      <b/>
      <sz val="12"/>
      <color rgb="FF000000"/>
      <name val="Calibri"/>
      <family val="2"/>
      <scheme val="minor"/>
    </font>
    <font>
      <sz val="11"/>
      <color rgb="FF000000"/>
      <name val="Calibri"/>
      <family val="2"/>
      <scheme val="minor"/>
    </font>
    <font>
      <b/>
      <sz val="11"/>
      <color rgb="FF000000"/>
      <name val="Calibri"/>
      <family val="2"/>
      <scheme val="minor"/>
    </font>
    <font>
      <b/>
      <sz val="12"/>
      <color theme="1"/>
      <name val="Calibri"/>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theme="9" tint="0.59999389629810485"/>
        <bgColor indexed="64"/>
      </patternFill>
    </fill>
    <fill>
      <patternFill patternType="solid">
        <fgColor theme="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7"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44" fontId="1" fillId="0" borderId="0" applyFont="0" applyFill="0" applyBorder="0" applyAlignment="0" applyProtection="0"/>
  </cellStyleXfs>
  <cellXfs count="37">
    <xf numFmtId="0" fontId="0" fillId="0" borderId="0" xfId="0"/>
    <xf numFmtId="0" fontId="3" fillId="0" borderId="0" xfId="0" applyFont="1"/>
    <xf numFmtId="0" fontId="0" fillId="2" borderId="1" xfId="0" applyFill="1" applyBorder="1"/>
    <xf numFmtId="0" fontId="0" fillId="0" borderId="1" xfId="0" applyBorder="1" applyAlignment="1">
      <alignment horizontal="center"/>
    </xf>
    <xf numFmtId="0" fontId="0" fillId="3" borderId="1" xfId="0" applyFill="1" applyBorder="1" applyAlignment="1">
      <alignment horizontal="center"/>
    </xf>
    <xf numFmtId="0" fontId="4" fillId="0" borderId="1" xfId="0" applyFont="1" applyBorder="1" applyAlignment="1">
      <alignment horizontal="center" vertical="top"/>
    </xf>
    <xf numFmtId="0" fontId="5" fillId="0" borderId="1" xfId="0" applyFont="1" applyBorder="1" applyAlignment="1">
      <alignment horizontal="center"/>
    </xf>
    <xf numFmtId="0" fontId="4" fillId="0" borderId="1" xfId="0" applyFont="1" applyBorder="1" applyAlignment="1">
      <alignment horizontal="center"/>
    </xf>
    <xf numFmtId="0" fontId="2" fillId="0" borderId="0" xfId="0" applyFont="1" applyAlignment="1">
      <alignment horizontal="center"/>
    </xf>
    <xf numFmtId="0" fontId="5" fillId="0" borderId="0" xfId="0" applyFont="1" applyAlignment="1">
      <alignment horizontal="center" vertical="top"/>
    </xf>
    <xf numFmtId="0" fontId="4" fillId="0" borderId="0" xfId="0" applyFont="1" applyAlignment="1">
      <alignment horizontal="center" vertical="top"/>
    </xf>
    <xf numFmtId="0" fontId="0" fillId="0" borderId="0" xfId="0" applyAlignment="1">
      <alignment horizontal="center"/>
    </xf>
    <xf numFmtId="0" fontId="5" fillId="0" borderId="0" xfId="0" applyFont="1" applyAlignment="1">
      <alignment horizontal="left" vertical="top"/>
    </xf>
    <xf numFmtId="0" fontId="0" fillId="2" borderId="1" xfId="0" applyFill="1" applyBorder="1" applyAlignment="1">
      <alignment horizontal="center"/>
    </xf>
    <xf numFmtId="0" fontId="0" fillId="4" borderId="1" xfId="0" applyFill="1" applyBorder="1" applyAlignment="1">
      <alignment horizontal="center"/>
    </xf>
    <xf numFmtId="0" fontId="2" fillId="0" borderId="0" xfId="0" applyFont="1"/>
    <xf numFmtId="0" fontId="2" fillId="0" borderId="0" xfId="0" applyFont="1" applyAlignment="1">
      <alignment horizontal="left"/>
    </xf>
    <xf numFmtId="0" fontId="0" fillId="5" borderId="0" xfId="0" applyFill="1" applyAlignment="1">
      <alignment horizontal="center"/>
    </xf>
    <xf numFmtId="0" fontId="6" fillId="0" borderId="0" xfId="0" applyFont="1"/>
    <xf numFmtId="0" fontId="4" fillId="6" borderId="1" xfId="0" applyFont="1" applyFill="1" applyBorder="1" applyAlignment="1">
      <alignment horizontal="center" vertical="top"/>
    </xf>
    <xf numFmtId="0" fontId="4" fillId="0" borderId="0" xfId="0" applyFont="1" applyAlignment="1">
      <alignment horizontal="left" vertical="top"/>
    </xf>
    <xf numFmtId="0" fontId="2" fillId="0" borderId="1" xfId="0" applyFont="1" applyBorder="1" applyAlignment="1">
      <alignment horizontal="center"/>
    </xf>
    <xf numFmtId="0" fontId="5" fillId="0" borderId="1" xfId="0" applyFont="1" applyBorder="1" applyAlignment="1">
      <alignment horizontal="left"/>
    </xf>
    <xf numFmtId="0" fontId="4" fillId="7" borderId="1" xfId="0" applyFont="1" applyFill="1" applyBorder="1" applyAlignment="1">
      <alignment horizontal="center" vertical="top"/>
    </xf>
    <xf numFmtId="0" fontId="4" fillId="0" borderId="2" xfId="0" applyFont="1" applyBorder="1" applyAlignment="1">
      <alignment horizontal="center" vertical="top"/>
    </xf>
    <xf numFmtId="0" fontId="0" fillId="3" borderId="0" xfId="0" applyFill="1"/>
    <xf numFmtId="164" fontId="4" fillId="8" borderId="1" xfId="0" applyNumberFormat="1" applyFont="1" applyFill="1" applyBorder="1" applyAlignment="1">
      <alignment horizontal="center" vertical="top"/>
    </xf>
    <xf numFmtId="0" fontId="4" fillId="2" borderId="1" xfId="0" applyFont="1" applyFill="1" applyBorder="1" applyAlignment="1">
      <alignment horizontal="center" vertical="top"/>
    </xf>
    <xf numFmtId="164" fontId="0" fillId="9" borderId="0" xfId="1" applyNumberFormat="1" applyFont="1" applyFill="1"/>
    <xf numFmtId="0" fontId="4" fillId="0" borderId="0" xfId="0" applyFont="1"/>
    <xf numFmtId="0" fontId="0" fillId="0" borderId="1" xfId="0" applyBorder="1"/>
    <xf numFmtId="0" fontId="5" fillId="0" borderId="1" xfId="0" applyFont="1" applyBorder="1"/>
    <xf numFmtId="0" fontId="5" fillId="0" borderId="1" xfId="0" applyFont="1" applyBorder="1" applyAlignment="1">
      <alignment vertical="top"/>
    </xf>
    <xf numFmtId="0" fontId="4" fillId="8" borderId="1" xfId="0" applyFont="1" applyFill="1" applyBorder="1" applyAlignment="1">
      <alignment vertical="top"/>
    </xf>
    <xf numFmtId="0" fontId="4" fillId="3" borderId="1" xfId="0" applyFont="1" applyFill="1" applyBorder="1" applyAlignment="1">
      <alignment horizontal="center" vertical="top"/>
    </xf>
    <xf numFmtId="0" fontId="5" fillId="0" borderId="2" xfId="0" applyFont="1" applyBorder="1" applyAlignment="1">
      <alignment vertical="top"/>
    </xf>
    <xf numFmtId="0" fontId="2" fillId="8" borderId="0" xfId="0" applyFont="1" applyFill="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98.png"/><Relationship Id="rId3" Type="http://schemas.openxmlformats.org/officeDocument/2006/relationships/customXml" Target="../ink/ink2.xml"/><Relationship Id="rId7" Type="http://schemas.openxmlformats.org/officeDocument/2006/relationships/customXml" Target="../ink/ink4.xml"/><Relationship Id="rId2" Type="http://schemas.openxmlformats.org/officeDocument/2006/relationships/image" Target="../media/image95.png"/><Relationship Id="rId1" Type="http://schemas.openxmlformats.org/officeDocument/2006/relationships/customXml" Target="../ink/ink1.xml"/><Relationship Id="rId6" Type="http://schemas.openxmlformats.org/officeDocument/2006/relationships/image" Target="../media/image97.png"/><Relationship Id="rId5" Type="http://schemas.openxmlformats.org/officeDocument/2006/relationships/customXml" Target="../ink/ink3.xml"/><Relationship Id="rId10" Type="http://schemas.openxmlformats.org/officeDocument/2006/relationships/image" Target="../media/image99.png"/><Relationship Id="rId4" Type="http://schemas.openxmlformats.org/officeDocument/2006/relationships/image" Target="../media/image96.png"/><Relationship Id="rId9" Type="http://schemas.openxmlformats.org/officeDocument/2006/relationships/customXml" Target="../ink/ink5.xml"/></Relationships>
</file>

<file path=xl/drawings/drawing1.xml><?xml version="1.0" encoding="utf-8"?>
<xdr:wsDr xmlns:xdr="http://schemas.openxmlformats.org/drawingml/2006/spreadsheetDrawing" xmlns:a="http://schemas.openxmlformats.org/drawingml/2006/main">
  <xdr:twoCellAnchor>
    <xdr:from>
      <xdr:col>10</xdr:col>
      <xdr:colOff>10584</xdr:colOff>
      <xdr:row>1</xdr:row>
      <xdr:rowOff>1</xdr:rowOff>
    </xdr:from>
    <xdr:to>
      <xdr:col>19</xdr:col>
      <xdr:colOff>257175</xdr:colOff>
      <xdr:row>30</xdr:row>
      <xdr:rowOff>179917</xdr:rowOff>
    </xdr:to>
    <xdr:sp macro="" textlink="">
      <xdr:nvSpPr>
        <xdr:cNvPr id="2" name="TextBox 1">
          <a:extLst>
            <a:ext uri="{FF2B5EF4-FFF2-40B4-BE49-F238E27FC236}">
              <a16:creationId xmlns:a16="http://schemas.microsoft.com/office/drawing/2014/main" id="{B769AAAB-C920-45C1-98CB-D298999CFE43}"/>
            </a:ext>
          </a:extLst>
        </xdr:cNvPr>
        <xdr:cNvSpPr txBox="1"/>
      </xdr:nvSpPr>
      <xdr:spPr>
        <a:xfrm>
          <a:off x="7325784" y="200026"/>
          <a:ext cx="5732991" cy="57044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i="0">
              <a:solidFill>
                <a:schemeClr val="dk1"/>
              </a:solidFill>
              <a:effectLst/>
              <a:latin typeface="+mn-lt"/>
              <a:ea typeface="+mn-ea"/>
              <a:cs typeface="+mn-cs"/>
            </a:rPr>
            <a:t>Scenario</a:t>
          </a:r>
        </a:p>
        <a:p>
          <a:endParaRPr lang="en-GB" sz="1200" b="1" i="0">
            <a:solidFill>
              <a:schemeClr val="dk1"/>
            </a:solidFill>
            <a:effectLst/>
            <a:latin typeface="+mn-lt"/>
            <a:ea typeface="+mn-ea"/>
            <a:cs typeface="+mn-cs"/>
          </a:endParaRPr>
        </a:p>
        <a:p>
          <a:r>
            <a:rPr lang="en-GB" sz="1100" b="0" i="0">
              <a:solidFill>
                <a:schemeClr val="dk1"/>
              </a:solidFill>
              <a:effectLst/>
              <a:latin typeface="+mn-lt"/>
              <a:ea typeface="+mn-ea"/>
              <a:cs typeface="+mn-cs"/>
            </a:rPr>
            <a:t>Maxie is leaving the Johns Hopkins Basketball jersey making business and is closing three of her factories. She would like to reassign all 235 of her best workers to Bianca's remaining factories. </a:t>
          </a:r>
        </a:p>
        <a:p>
          <a:endParaRPr lang="en-GB" sz="1100" b="0" i="0">
            <a:solidFill>
              <a:schemeClr val="dk1"/>
            </a:solidFill>
            <a:effectLst/>
            <a:latin typeface="+mn-lt"/>
            <a:ea typeface="+mn-ea"/>
            <a:cs typeface="+mn-cs"/>
          </a:endParaRPr>
        </a:p>
        <a:p>
          <a:r>
            <a:rPr lang="en-GB" sz="1100" b="1" i="0">
              <a:solidFill>
                <a:schemeClr val="dk1"/>
              </a:solidFill>
              <a:effectLst/>
              <a:latin typeface="+mn-lt"/>
              <a:ea typeface="+mn-ea"/>
              <a:cs typeface="+mn-cs"/>
            </a:rPr>
            <a:t>Closing Plant</a:t>
          </a:r>
          <a:r>
            <a:rPr lang="en-GB" sz="1100" b="0" i="0">
              <a:solidFill>
                <a:schemeClr val="dk1"/>
              </a:solidFill>
              <a:effectLst/>
              <a:latin typeface="+mn-lt"/>
              <a:ea typeface="+mn-ea"/>
              <a:cs typeface="+mn-cs"/>
            </a:rPr>
            <a:t>	</a:t>
          </a:r>
          <a:r>
            <a:rPr lang="en-GB" sz="1100" b="1" i="0">
              <a:solidFill>
                <a:schemeClr val="dk1"/>
              </a:solidFill>
              <a:effectLst/>
              <a:latin typeface="+mn-lt"/>
              <a:ea typeface="+mn-ea"/>
              <a:cs typeface="+mn-cs"/>
            </a:rPr>
            <a:t>No. of Workers to Transfer</a:t>
          </a:r>
          <a:endParaRPr lang="en-GB" sz="1100" b="0" i="0">
            <a:solidFill>
              <a:schemeClr val="dk1"/>
            </a:solidFill>
            <a:effectLst/>
            <a:latin typeface="+mn-lt"/>
            <a:ea typeface="+mn-ea"/>
            <a:cs typeface="+mn-cs"/>
          </a:endParaRPr>
        </a:p>
        <a:p>
          <a:pPr fontAlgn="t"/>
          <a:r>
            <a:rPr lang="en-GB" sz="1100" b="0" i="0">
              <a:solidFill>
                <a:schemeClr val="dk1"/>
              </a:solidFill>
              <a:effectLst/>
              <a:latin typeface="+mn-lt"/>
              <a:ea typeface="+mn-ea"/>
              <a:cs typeface="+mn-cs"/>
            </a:rPr>
            <a:t>1	60</a:t>
          </a:r>
        </a:p>
        <a:p>
          <a:pPr fontAlgn="t"/>
          <a:r>
            <a:rPr lang="en-GB" sz="1100" b="0" i="0">
              <a:solidFill>
                <a:schemeClr val="dk1"/>
              </a:solidFill>
              <a:effectLst/>
              <a:latin typeface="+mn-lt"/>
              <a:ea typeface="+mn-ea"/>
              <a:cs typeface="+mn-cs"/>
            </a:rPr>
            <a:t>2	105</a:t>
          </a:r>
        </a:p>
        <a:p>
          <a:pPr fontAlgn="t"/>
          <a:r>
            <a:rPr lang="en-GB" sz="1100" b="0" i="0">
              <a:solidFill>
                <a:schemeClr val="dk1"/>
              </a:solidFill>
              <a:effectLst/>
              <a:latin typeface="+mn-lt"/>
              <a:ea typeface="+mn-ea"/>
              <a:cs typeface="+mn-cs"/>
            </a:rPr>
            <a:t>3	70</a:t>
          </a:r>
        </a:p>
        <a:p>
          <a:pPr fontAlgn="t"/>
          <a:r>
            <a:rPr lang="en-GB" sz="1100" b="1" i="0">
              <a:solidFill>
                <a:schemeClr val="dk1"/>
              </a:solidFill>
              <a:effectLst/>
              <a:latin typeface="+mn-lt"/>
              <a:ea typeface="+mn-ea"/>
              <a:cs typeface="+mn-cs"/>
            </a:rPr>
            <a:t>Total</a:t>
          </a:r>
          <a:r>
            <a:rPr lang="en-GB" sz="1100" b="0" i="0">
              <a:solidFill>
                <a:schemeClr val="dk1"/>
              </a:solidFill>
              <a:effectLst/>
              <a:latin typeface="+mn-lt"/>
              <a:ea typeface="+mn-ea"/>
              <a:cs typeface="+mn-cs"/>
            </a:rPr>
            <a:t>	</a:t>
          </a:r>
          <a:r>
            <a:rPr lang="en-GB" sz="1100" b="1" i="0">
              <a:solidFill>
                <a:schemeClr val="dk1"/>
              </a:solidFill>
              <a:effectLst/>
              <a:latin typeface="+mn-lt"/>
              <a:ea typeface="+mn-ea"/>
              <a:cs typeface="+mn-cs"/>
            </a:rPr>
            <a:t>235</a:t>
          </a:r>
          <a:endParaRPr lang="en-GB" sz="1100" b="0" i="0">
            <a:solidFill>
              <a:schemeClr val="dk1"/>
            </a:solidFill>
            <a:effectLst/>
            <a:latin typeface="+mn-lt"/>
            <a:ea typeface="+mn-ea"/>
            <a:cs typeface="+mn-cs"/>
          </a:endParaRPr>
        </a:p>
        <a:p>
          <a:r>
            <a:rPr lang="en-GB" sz="1100" b="0" i="0">
              <a:solidFill>
                <a:schemeClr val="dk1"/>
              </a:solidFill>
              <a:effectLst/>
              <a:latin typeface="+mn-lt"/>
              <a:ea typeface="+mn-ea"/>
              <a:cs typeface="+mn-cs"/>
            </a:rPr>
            <a:t> </a:t>
          </a:r>
        </a:p>
        <a:p>
          <a:r>
            <a:rPr lang="en-GB" sz="1100" b="0" i="0">
              <a:solidFill>
                <a:schemeClr val="dk1"/>
              </a:solidFill>
              <a:effectLst/>
              <a:latin typeface="+mn-lt"/>
              <a:ea typeface="+mn-ea"/>
              <a:cs typeface="+mn-cs"/>
            </a:rPr>
            <a:t>However, demand for skilled labor in the basketball jersey making market has decreased. Bianca has three open plants that have openings, but not enough for all 235 employees looking to be transferred. The below table summarizes Bianca's current needs:</a:t>
          </a:r>
        </a:p>
        <a:p>
          <a:r>
            <a:rPr lang="en-GB" sz="1100" b="1" i="0">
              <a:solidFill>
                <a:schemeClr val="dk1"/>
              </a:solidFill>
              <a:effectLst/>
              <a:latin typeface="+mn-lt"/>
              <a:ea typeface="+mn-ea"/>
              <a:cs typeface="+mn-cs"/>
            </a:rPr>
            <a:t>Open Plant</a:t>
          </a:r>
          <a:r>
            <a:rPr lang="en-GB" sz="1100" b="0" i="0">
              <a:solidFill>
                <a:schemeClr val="dk1"/>
              </a:solidFill>
              <a:effectLst/>
              <a:latin typeface="+mn-lt"/>
              <a:ea typeface="+mn-ea"/>
              <a:cs typeface="+mn-cs"/>
            </a:rPr>
            <a:t>	</a:t>
          </a:r>
          <a:r>
            <a:rPr lang="en-GB" sz="1100" b="1" i="0">
              <a:solidFill>
                <a:schemeClr val="dk1"/>
              </a:solidFill>
              <a:effectLst/>
              <a:latin typeface="+mn-lt"/>
              <a:ea typeface="+mn-ea"/>
              <a:cs typeface="+mn-cs"/>
            </a:rPr>
            <a:t>No. of Open Positions</a:t>
          </a:r>
          <a:endParaRPr lang="en-GB" sz="1100" b="0" i="0">
            <a:solidFill>
              <a:schemeClr val="dk1"/>
            </a:solidFill>
            <a:effectLst/>
            <a:latin typeface="+mn-lt"/>
            <a:ea typeface="+mn-ea"/>
            <a:cs typeface="+mn-cs"/>
          </a:endParaRPr>
        </a:p>
        <a:p>
          <a:pPr fontAlgn="t"/>
          <a:r>
            <a:rPr lang="en-GB" sz="1100" b="0" i="0">
              <a:solidFill>
                <a:schemeClr val="dk1"/>
              </a:solidFill>
              <a:effectLst/>
              <a:latin typeface="+mn-lt"/>
              <a:ea typeface="+mn-ea"/>
              <a:cs typeface="+mn-cs"/>
            </a:rPr>
            <a:t>A	45</a:t>
          </a:r>
        </a:p>
        <a:p>
          <a:pPr fontAlgn="t"/>
          <a:r>
            <a:rPr lang="en-GB" sz="1100" b="0" i="0">
              <a:solidFill>
                <a:schemeClr val="dk1"/>
              </a:solidFill>
              <a:effectLst/>
              <a:latin typeface="+mn-lt"/>
              <a:ea typeface="+mn-ea"/>
              <a:cs typeface="+mn-cs"/>
            </a:rPr>
            <a:t>B	90</a:t>
          </a:r>
        </a:p>
        <a:p>
          <a:pPr fontAlgn="t"/>
          <a:r>
            <a:rPr lang="en-GB" sz="1100" b="0" i="0">
              <a:solidFill>
                <a:schemeClr val="dk1"/>
              </a:solidFill>
              <a:effectLst/>
              <a:latin typeface="+mn-lt"/>
              <a:ea typeface="+mn-ea"/>
              <a:cs typeface="+mn-cs"/>
            </a:rPr>
            <a:t>C	35</a:t>
          </a:r>
        </a:p>
        <a:p>
          <a:pPr fontAlgn="t"/>
          <a:r>
            <a:rPr lang="en-GB" sz="1100" b="1" i="0">
              <a:solidFill>
                <a:schemeClr val="dk1"/>
              </a:solidFill>
              <a:effectLst/>
              <a:latin typeface="+mn-lt"/>
              <a:ea typeface="+mn-ea"/>
              <a:cs typeface="+mn-cs"/>
            </a:rPr>
            <a:t>Total</a:t>
          </a:r>
          <a:r>
            <a:rPr lang="en-GB" sz="1100" b="0" i="0">
              <a:solidFill>
                <a:schemeClr val="dk1"/>
              </a:solidFill>
              <a:effectLst/>
              <a:latin typeface="+mn-lt"/>
              <a:ea typeface="+mn-ea"/>
              <a:cs typeface="+mn-cs"/>
            </a:rPr>
            <a:t>	</a:t>
          </a:r>
          <a:r>
            <a:rPr lang="en-GB" sz="1100" b="1" i="0">
              <a:solidFill>
                <a:schemeClr val="dk1"/>
              </a:solidFill>
              <a:effectLst/>
              <a:latin typeface="+mn-lt"/>
              <a:ea typeface="+mn-ea"/>
              <a:cs typeface="+mn-cs"/>
            </a:rPr>
            <a:t>170</a:t>
          </a:r>
          <a:endParaRPr lang="en-GB" sz="1100" b="0" i="0">
            <a:solidFill>
              <a:schemeClr val="dk1"/>
            </a:solidFill>
            <a:effectLst/>
            <a:latin typeface="+mn-lt"/>
            <a:ea typeface="+mn-ea"/>
            <a:cs typeface="+mn-cs"/>
          </a:endParaRPr>
        </a:p>
        <a:p>
          <a:endParaRPr lang="en-GB" sz="1100" b="0" i="0">
            <a:solidFill>
              <a:schemeClr val="dk1"/>
            </a:solidFill>
            <a:effectLst/>
            <a:latin typeface="+mn-lt"/>
            <a:ea typeface="+mn-ea"/>
            <a:cs typeface="+mn-cs"/>
          </a:endParaRPr>
        </a:p>
        <a:p>
          <a:r>
            <a:rPr lang="en-GB" sz="1100" b="0" i="0">
              <a:solidFill>
                <a:schemeClr val="dk1"/>
              </a:solidFill>
              <a:effectLst/>
              <a:latin typeface="+mn-lt"/>
              <a:ea typeface="+mn-ea"/>
              <a:cs typeface="+mn-cs"/>
            </a:rPr>
            <a:t>Each worker who fills an open position on the assembly line will increase the number of basketball jerseys produced per day at each plant as shown in the following table:</a:t>
          </a:r>
        </a:p>
        <a:p>
          <a:pPr fontAlgn="t"/>
          <a:r>
            <a:rPr lang="en-GB" sz="1100" b="0" i="0">
              <a:solidFill>
                <a:schemeClr val="dk1"/>
              </a:solidFill>
              <a:effectLst/>
              <a:latin typeface="+mn-lt"/>
              <a:ea typeface="+mn-ea"/>
              <a:cs typeface="+mn-cs"/>
            </a:rPr>
            <a:t> 		</a:t>
          </a:r>
          <a:r>
            <a:rPr lang="en-GB" sz="1100" b="1" i="0">
              <a:solidFill>
                <a:schemeClr val="dk1"/>
              </a:solidFill>
              <a:effectLst/>
              <a:latin typeface="+mn-lt"/>
              <a:ea typeface="+mn-ea"/>
              <a:cs typeface="+mn-cs"/>
            </a:rPr>
            <a:t>To:</a:t>
          </a:r>
          <a:endParaRPr lang="en-GB" sz="1100" b="0" i="0">
            <a:solidFill>
              <a:schemeClr val="dk1"/>
            </a:solidFill>
            <a:effectLst/>
            <a:latin typeface="+mn-lt"/>
            <a:ea typeface="+mn-ea"/>
            <a:cs typeface="+mn-cs"/>
          </a:endParaRPr>
        </a:p>
        <a:p>
          <a:pPr fontAlgn="t"/>
          <a:r>
            <a:rPr lang="en-GB" sz="1100" b="1" i="0">
              <a:solidFill>
                <a:schemeClr val="dk1"/>
              </a:solidFill>
              <a:effectLst/>
              <a:latin typeface="+mn-lt"/>
              <a:ea typeface="+mn-ea"/>
              <a:cs typeface="+mn-cs"/>
            </a:rPr>
            <a:t>From:</a:t>
          </a:r>
          <a:r>
            <a:rPr lang="en-GB" sz="1100" b="0" i="0">
              <a:solidFill>
                <a:schemeClr val="dk1"/>
              </a:solidFill>
              <a:effectLst/>
              <a:latin typeface="+mn-lt"/>
              <a:ea typeface="+mn-ea"/>
              <a:cs typeface="+mn-cs"/>
            </a:rPr>
            <a:t>	</a:t>
          </a:r>
          <a:r>
            <a:rPr lang="en-GB" sz="1100" b="1" i="0">
              <a:solidFill>
                <a:schemeClr val="dk1"/>
              </a:solidFill>
              <a:effectLst/>
              <a:latin typeface="+mn-lt"/>
              <a:ea typeface="+mn-ea"/>
              <a:cs typeface="+mn-cs"/>
            </a:rPr>
            <a:t>A</a:t>
          </a:r>
          <a:r>
            <a:rPr lang="en-GB" sz="1100" b="0" i="0">
              <a:solidFill>
                <a:schemeClr val="dk1"/>
              </a:solidFill>
              <a:effectLst/>
              <a:latin typeface="+mn-lt"/>
              <a:ea typeface="+mn-ea"/>
              <a:cs typeface="+mn-cs"/>
            </a:rPr>
            <a:t>	</a:t>
          </a:r>
          <a:r>
            <a:rPr lang="en-GB" sz="1100" b="1" i="0">
              <a:solidFill>
                <a:schemeClr val="dk1"/>
              </a:solidFill>
              <a:effectLst/>
              <a:latin typeface="+mn-lt"/>
              <a:ea typeface="+mn-ea"/>
              <a:cs typeface="+mn-cs"/>
            </a:rPr>
            <a:t>B</a:t>
          </a:r>
          <a:r>
            <a:rPr lang="en-GB" sz="1100" b="0" i="0">
              <a:solidFill>
                <a:schemeClr val="dk1"/>
              </a:solidFill>
              <a:effectLst/>
              <a:latin typeface="+mn-lt"/>
              <a:ea typeface="+mn-ea"/>
              <a:cs typeface="+mn-cs"/>
            </a:rPr>
            <a:t>	C</a:t>
          </a:r>
        </a:p>
        <a:p>
          <a:pPr fontAlgn="t"/>
          <a:r>
            <a:rPr lang="en-GB" sz="1100" b="1" i="0">
              <a:solidFill>
                <a:schemeClr val="dk1"/>
              </a:solidFill>
              <a:effectLst/>
              <a:latin typeface="+mn-lt"/>
              <a:ea typeface="+mn-ea"/>
              <a:cs typeface="+mn-cs"/>
            </a:rPr>
            <a:t>1</a:t>
          </a:r>
          <a:r>
            <a:rPr lang="en-GB" sz="1100" b="0" i="0">
              <a:solidFill>
                <a:schemeClr val="dk1"/>
              </a:solidFill>
              <a:effectLst/>
              <a:latin typeface="+mn-lt"/>
              <a:ea typeface="+mn-ea"/>
              <a:cs typeface="+mn-cs"/>
            </a:rPr>
            <a:t>	5	8	6</a:t>
          </a:r>
        </a:p>
        <a:p>
          <a:pPr fontAlgn="t"/>
          <a:r>
            <a:rPr lang="en-GB" sz="1100" b="0" i="0">
              <a:solidFill>
                <a:schemeClr val="dk1"/>
              </a:solidFill>
              <a:effectLst/>
              <a:latin typeface="+mn-lt"/>
              <a:ea typeface="+mn-ea"/>
              <a:cs typeface="+mn-cs"/>
            </a:rPr>
            <a:t>2	10	9	12</a:t>
          </a:r>
        </a:p>
        <a:p>
          <a:pPr fontAlgn="t"/>
          <a:r>
            <a:rPr lang="en-GB" sz="1100" b="0" i="0">
              <a:solidFill>
                <a:schemeClr val="dk1"/>
              </a:solidFill>
              <a:effectLst/>
              <a:latin typeface="+mn-lt"/>
              <a:ea typeface="+mn-ea"/>
              <a:cs typeface="+mn-cs"/>
            </a:rPr>
            <a:t>3	7	6	10</a:t>
          </a:r>
        </a:p>
        <a:p>
          <a:endParaRPr lang="en-GB" sz="1100" b="0" i="0">
            <a:solidFill>
              <a:schemeClr val="dk1"/>
            </a:solidFill>
            <a:effectLst/>
            <a:latin typeface="+mn-lt"/>
            <a:ea typeface="+mn-ea"/>
            <a:cs typeface="+mn-cs"/>
          </a:endParaRPr>
        </a:p>
        <a:p>
          <a:r>
            <a:rPr lang="en-GB" sz="1100" b="0" i="0">
              <a:solidFill>
                <a:schemeClr val="dk1"/>
              </a:solidFill>
              <a:effectLst/>
              <a:latin typeface="+mn-lt"/>
              <a:ea typeface="+mn-ea"/>
              <a:cs typeface="+mn-cs"/>
            </a:rPr>
            <a:t>Determine how to assign workers from the closing plants to the open plants in order to maximize product output.</a:t>
          </a:r>
        </a:p>
        <a:p>
          <a:r>
            <a:rPr lang="en-GB" sz="1100" b="0" i="1">
              <a:solidFill>
                <a:schemeClr val="dk1"/>
              </a:solidFill>
              <a:effectLst/>
              <a:latin typeface="+mn-lt"/>
              <a:ea typeface="+mn-ea"/>
              <a:cs typeface="+mn-cs"/>
            </a:rPr>
            <a:t>Enter a number only for each of the questions below (entering units may cause an error).</a:t>
          </a:r>
          <a:endParaRPr lang="en-GB" sz="1100" b="0" i="0">
            <a:solidFill>
              <a:schemeClr val="dk1"/>
            </a:solidFill>
            <a:effectLst/>
            <a:latin typeface="+mn-lt"/>
            <a:ea typeface="+mn-ea"/>
            <a:cs typeface="+mn-cs"/>
          </a:endParaRPr>
        </a:p>
        <a:p>
          <a:br>
            <a:rPr lang="en-GB" sz="1100" b="0" i="0">
              <a:solidFill>
                <a:schemeClr val="dk1"/>
              </a:solidFill>
              <a:effectLst/>
              <a:latin typeface="+mn-lt"/>
              <a:ea typeface="+mn-ea"/>
              <a:cs typeface="+mn-cs"/>
            </a:rPr>
          </a:br>
          <a:endParaRPr lang="en-GB" sz="1100" b="0" i="0">
            <a:solidFill>
              <a:schemeClr val="dk1"/>
            </a:solidFill>
            <a:effectLst/>
            <a:latin typeface="+mn-lt"/>
            <a:ea typeface="+mn-ea"/>
            <a:cs typeface="+mn-cs"/>
          </a:endParaRPr>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28575</xdr:colOff>
      <xdr:row>1</xdr:row>
      <xdr:rowOff>9524</xdr:rowOff>
    </xdr:from>
    <xdr:to>
      <xdr:col>18</xdr:col>
      <xdr:colOff>590550</xdr:colOff>
      <xdr:row>16</xdr:row>
      <xdr:rowOff>169333</xdr:rowOff>
    </xdr:to>
    <xdr:sp macro="" textlink="">
      <xdr:nvSpPr>
        <xdr:cNvPr id="2" name="TextBox 1">
          <a:extLst>
            <a:ext uri="{FF2B5EF4-FFF2-40B4-BE49-F238E27FC236}">
              <a16:creationId xmlns:a16="http://schemas.microsoft.com/office/drawing/2014/main" id="{F430ABCA-76E1-41E2-94C3-3A1D293D9C31}"/>
            </a:ext>
          </a:extLst>
        </xdr:cNvPr>
        <xdr:cNvSpPr txBox="1"/>
      </xdr:nvSpPr>
      <xdr:spPr>
        <a:xfrm>
          <a:off x="7248525" y="209549"/>
          <a:ext cx="4829175" cy="30173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dk1"/>
              </a:solidFill>
              <a:effectLst/>
              <a:latin typeface="+mn-lt"/>
              <a:ea typeface="+mn-ea"/>
              <a:cs typeface="+mn-cs"/>
            </a:rPr>
            <a:t>Scenario</a:t>
          </a:r>
        </a:p>
        <a:p>
          <a:r>
            <a:rPr lang="en-GB" sz="1100" b="0">
              <a:solidFill>
                <a:schemeClr val="dk1"/>
              </a:solidFill>
              <a:effectLst/>
              <a:latin typeface="+mn-lt"/>
              <a:ea typeface="+mn-ea"/>
              <a:cs typeface="+mn-cs"/>
            </a:rPr>
            <a:t>Crews of Major League Baseball (MLB) umpires are currently in the cities of Seattle, Arlington, Oakland, and Baltimore. The crews need to get sent to games that are soon beginning in Kansas City, Chicago, Detroit, and Toronto. Estimated travel distances (in miles) between the cities are shown in the table below.</a:t>
          </a:r>
        </a:p>
        <a:p>
          <a:endParaRPr lang="en-GB" sz="1100" b="0">
            <a:solidFill>
              <a:schemeClr val="dk1"/>
            </a:solidFill>
            <a:effectLst/>
            <a:latin typeface="+mn-lt"/>
            <a:ea typeface="+mn-ea"/>
            <a:cs typeface="+mn-cs"/>
          </a:endParaRPr>
        </a:p>
        <a:p>
          <a:r>
            <a:rPr lang="en-GB" sz="1100" b="1">
              <a:solidFill>
                <a:schemeClr val="dk1"/>
              </a:solidFill>
              <a:effectLst/>
              <a:latin typeface="+mn-lt"/>
              <a:ea typeface="+mn-ea"/>
              <a:cs typeface="+mn-cs"/>
            </a:rPr>
            <a:t>Due to a union requirement, the MLB is not allowed to send any crew from Oakland to Toronto.</a:t>
          </a:r>
        </a:p>
        <a:p>
          <a:endParaRPr lang="en-GB" sz="1100" b="0">
            <a:solidFill>
              <a:schemeClr val="dk1"/>
            </a:solidFill>
            <a:effectLst/>
            <a:latin typeface="+mn-lt"/>
            <a:ea typeface="+mn-ea"/>
            <a:cs typeface="+mn-cs"/>
          </a:endParaRPr>
        </a:p>
        <a:p>
          <a:r>
            <a:rPr lang="en-GB" sz="1100" b="1">
              <a:solidFill>
                <a:schemeClr val="dk1"/>
              </a:solidFill>
              <a:effectLst/>
              <a:latin typeface="+mn-lt"/>
              <a:ea typeface="+mn-ea"/>
              <a:cs typeface="+mn-cs"/>
            </a:rPr>
            <a:t>Assign one umpire crew to each city (only one per city) to minimize the total distance traveled.</a:t>
          </a: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	Kansas City	Chicago	Detroit	Toronto</a:t>
          </a:r>
        </a:p>
        <a:p>
          <a:pPr fontAlgn="t"/>
          <a:r>
            <a:rPr lang="en-GB" sz="1100" b="0">
              <a:solidFill>
                <a:schemeClr val="dk1"/>
              </a:solidFill>
              <a:effectLst/>
              <a:latin typeface="+mn-lt"/>
              <a:ea typeface="+mn-ea"/>
              <a:cs typeface="+mn-cs"/>
            </a:rPr>
            <a:t>Seattle	1500	1730	1940	2070</a:t>
          </a:r>
        </a:p>
        <a:p>
          <a:pPr fontAlgn="t"/>
          <a:r>
            <a:rPr lang="en-GB" sz="1100" b="0">
              <a:solidFill>
                <a:schemeClr val="dk1"/>
              </a:solidFill>
              <a:effectLst/>
              <a:latin typeface="+mn-lt"/>
              <a:ea typeface="+mn-ea"/>
              <a:cs typeface="+mn-cs"/>
            </a:rPr>
            <a:t>Arlington	460	810	1020	1270</a:t>
          </a:r>
        </a:p>
        <a:p>
          <a:pPr fontAlgn="t"/>
          <a:r>
            <a:rPr lang="en-GB" sz="1100" b="0">
              <a:solidFill>
                <a:schemeClr val="dk1"/>
              </a:solidFill>
              <a:effectLst/>
              <a:latin typeface="+mn-lt"/>
              <a:ea typeface="+mn-ea"/>
              <a:cs typeface="+mn-cs"/>
            </a:rPr>
            <a:t>Oakland	1500	1850	2080	X</a:t>
          </a:r>
        </a:p>
        <a:p>
          <a:pPr fontAlgn="t"/>
          <a:r>
            <a:rPr lang="en-GB" sz="1100" b="0">
              <a:solidFill>
                <a:schemeClr val="dk1"/>
              </a:solidFill>
              <a:effectLst/>
              <a:latin typeface="+mn-lt"/>
              <a:ea typeface="+mn-ea"/>
              <a:cs typeface="+mn-cs"/>
            </a:rPr>
            <a:t>Baltimore	960	610	400	330</a:t>
          </a:r>
        </a:p>
        <a:p>
          <a:br>
            <a:rPr lang="en-GB">
              <a:effectLst/>
            </a:rPr>
          </a:br>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38100</xdr:colOff>
      <xdr:row>1</xdr:row>
      <xdr:rowOff>19050</xdr:rowOff>
    </xdr:from>
    <xdr:to>
      <xdr:col>19</xdr:col>
      <xdr:colOff>390525</xdr:colOff>
      <xdr:row>11</xdr:row>
      <xdr:rowOff>180975</xdr:rowOff>
    </xdr:to>
    <xdr:sp macro="" textlink="">
      <xdr:nvSpPr>
        <xdr:cNvPr id="2" name="TextBox 1">
          <a:extLst>
            <a:ext uri="{FF2B5EF4-FFF2-40B4-BE49-F238E27FC236}">
              <a16:creationId xmlns:a16="http://schemas.microsoft.com/office/drawing/2014/main" id="{DCA42D30-B1F1-42C5-A83E-D55228379FFF}"/>
            </a:ext>
          </a:extLst>
        </xdr:cNvPr>
        <xdr:cNvSpPr txBox="1"/>
      </xdr:nvSpPr>
      <xdr:spPr>
        <a:xfrm>
          <a:off x="8248650" y="209550"/>
          <a:ext cx="4619625" cy="2066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dk1"/>
              </a:solidFill>
              <a:effectLst/>
              <a:latin typeface="+mn-lt"/>
              <a:ea typeface="+mn-ea"/>
              <a:cs typeface="+mn-cs"/>
            </a:rPr>
            <a:t>Scenario</a:t>
          </a:r>
        </a:p>
        <a:p>
          <a:r>
            <a:rPr lang="en-GB" sz="1100" b="0">
              <a:solidFill>
                <a:schemeClr val="dk1"/>
              </a:solidFill>
              <a:effectLst/>
              <a:latin typeface="+mn-lt"/>
              <a:ea typeface="+mn-ea"/>
              <a:cs typeface="+mn-cs"/>
            </a:rPr>
            <a:t>A company has three new hires: Jones, Smith, and Wilson. They can be sent to any one of four offices: in Omaha, Dallas, New York, or Miami. Only one candidate can be sent to each office. The cost to relocate each candidate to each of the offices is shown in the table below.</a:t>
          </a:r>
        </a:p>
        <a:p>
          <a:r>
            <a:rPr lang="en-GB" sz="1100" b="1">
              <a:solidFill>
                <a:schemeClr val="dk1"/>
              </a:solidFill>
              <a:effectLst/>
              <a:latin typeface="+mn-lt"/>
              <a:ea typeface="+mn-ea"/>
              <a:cs typeface="+mn-cs"/>
            </a:rPr>
            <a:t>	Omaha	Miami	Dallas	New York</a:t>
          </a:r>
        </a:p>
        <a:p>
          <a:pPr fontAlgn="t"/>
          <a:r>
            <a:rPr lang="en-GB" sz="1100" b="0">
              <a:solidFill>
                <a:schemeClr val="dk1"/>
              </a:solidFill>
              <a:effectLst/>
              <a:latin typeface="+mn-lt"/>
              <a:ea typeface="+mn-ea"/>
              <a:cs typeface="+mn-cs"/>
            </a:rPr>
            <a:t>Jones	$800	$1,100	$1,200	$1,000</a:t>
          </a:r>
        </a:p>
        <a:p>
          <a:pPr fontAlgn="t"/>
          <a:r>
            <a:rPr lang="en-GB" sz="1100" b="0">
              <a:solidFill>
                <a:schemeClr val="dk1"/>
              </a:solidFill>
              <a:effectLst/>
              <a:latin typeface="+mn-lt"/>
              <a:ea typeface="+mn-ea"/>
              <a:cs typeface="+mn-cs"/>
            </a:rPr>
            <a:t>Smith	$500	$1,600	$1,300	$800</a:t>
          </a:r>
        </a:p>
        <a:p>
          <a:pPr fontAlgn="t"/>
          <a:r>
            <a:rPr lang="en-GB" sz="1100" b="0">
              <a:solidFill>
                <a:schemeClr val="dk1"/>
              </a:solidFill>
              <a:effectLst/>
              <a:latin typeface="+mn-lt"/>
              <a:ea typeface="+mn-ea"/>
              <a:cs typeface="+mn-cs"/>
            </a:rPr>
            <a:t>Wilson	$500	$1,000	$2,300	$1,500</a:t>
          </a:r>
        </a:p>
        <a:p>
          <a:br>
            <a:rPr lang="en-GB">
              <a:effectLst/>
            </a:rPr>
          </a:br>
          <a:endParaRPr lang="en-GB" sz="1100"/>
        </a:p>
      </xdr:txBody>
    </xdr:sp>
    <xdr:clientData/>
  </xdr:twoCellAnchor>
  <xdr:twoCellAnchor editAs="oneCell">
    <xdr:from>
      <xdr:col>13</xdr:col>
      <xdr:colOff>143880</xdr:colOff>
      <xdr:row>13</xdr:row>
      <xdr:rowOff>123060</xdr:rowOff>
    </xdr:from>
    <xdr:to>
      <xdr:col>14</xdr:col>
      <xdr:colOff>441480</xdr:colOff>
      <xdr:row>15</xdr:row>
      <xdr:rowOff>127620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3" name="Ink 2">
              <a:extLst>
                <a:ext uri="{FF2B5EF4-FFF2-40B4-BE49-F238E27FC236}">
                  <a16:creationId xmlns:a16="http://schemas.microsoft.com/office/drawing/2014/main" id="{B4A2A939-D011-4E3B-BD24-F4B3054237C9}"/>
                </a:ext>
              </a:extLst>
            </xdr14:cNvPr>
            <xdr14:cNvContentPartPr/>
          </xdr14:nvContentPartPr>
          <xdr14:nvPr macro=""/>
          <xdr14:xfrm>
            <a:off x="8068680" y="2599560"/>
            <a:ext cx="907200" cy="385560"/>
          </xdr14:xfrm>
        </xdr:contentPart>
      </mc:Choice>
      <mc:Fallback xmlns="">
        <xdr:pic>
          <xdr:nvPicPr>
            <xdr:cNvPr id="9" name="Ink 8">
              <a:extLst>
                <a:ext uri="{FF2B5EF4-FFF2-40B4-BE49-F238E27FC236}">
                  <a16:creationId xmlns:a16="http://schemas.microsoft.com/office/drawing/2014/main" id="{E7751068-6891-5E81-18C3-20B5760D2EA4}"/>
                </a:ext>
              </a:extLst>
            </xdr:cNvPr>
            <xdr:cNvPicPr/>
          </xdr:nvPicPr>
          <xdr:blipFill>
            <a:blip xmlns:r="http://schemas.openxmlformats.org/officeDocument/2006/relationships" r:embed="rId2"/>
            <a:stretch>
              <a:fillRect/>
            </a:stretch>
          </xdr:blipFill>
          <xdr:spPr>
            <a:xfrm>
              <a:off x="8064360" y="2595240"/>
              <a:ext cx="915840" cy="394200"/>
            </a:xfrm>
            <a:prstGeom prst="rect">
              <a:avLst/>
            </a:prstGeom>
          </xdr:spPr>
        </xdr:pic>
      </mc:Fallback>
    </mc:AlternateContent>
    <xdr:clientData/>
  </xdr:twoCellAnchor>
  <xdr:twoCellAnchor editAs="oneCell">
    <xdr:from>
      <xdr:col>14</xdr:col>
      <xdr:colOff>503760</xdr:colOff>
      <xdr:row>14</xdr:row>
      <xdr:rowOff>47040</xdr:rowOff>
    </xdr:from>
    <xdr:to>
      <xdr:col>16</xdr:col>
      <xdr:colOff>9960</xdr:colOff>
      <xdr:row>16</xdr:row>
      <xdr:rowOff>153120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4" name="Ink 3">
              <a:extLst>
                <a:ext uri="{FF2B5EF4-FFF2-40B4-BE49-F238E27FC236}">
                  <a16:creationId xmlns:a16="http://schemas.microsoft.com/office/drawing/2014/main" id="{CDE5988C-EAC7-4B5E-9CC5-B95EAD2347E1}"/>
                </a:ext>
              </a:extLst>
            </xdr14:cNvPr>
            <xdr14:cNvContentPartPr/>
          </xdr14:nvContentPartPr>
          <xdr14:nvPr macro=""/>
          <xdr14:xfrm>
            <a:off x="9038160" y="2714040"/>
            <a:ext cx="725400" cy="487080"/>
          </xdr14:xfrm>
        </xdr:contentPart>
      </mc:Choice>
      <mc:Fallback xmlns="">
        <xdr:pic>
          <xdr:nvPicPr>
            <xdr:cNvPr id="26" name="Ink 25">
              <a:extLst>
                <a:ext uri="{FF2B5EF4-FFF2-40B4-BE49-F238E27FC236}">
                  <a16:creationId xmlns:a16="http://schemas.microsoft.com/office/drawing/2014/main" id="{CAEEC1CB-EA1C-E98B-89EB-2A6C3AF34AC5}"/>
                </a:ext>
              </a:extLst>
            </xdr:cNvPr>
            <xdr:cNvPicPr/>
          </xdr:nvPicPr>
          <xdr:blipFill>
            <a:blip xmlns:r="http://schemas.openxmlformats.org/officeDocument/2006/relationships" r:embed="rId4"/>
            <a:stretch>
              <a:fillRect/>
            </a:stretch>
          </xdr:blipFill>
          <xdr:spPr>
            <a:xfrm>
              <a:off x="9032040" y="2707915"/>
              <a:ext cx="737640" cy="499329"/>
            </a:xfrm>
            <a:prstGeom prst="rect">
              <a:avLst/>
            </a:prstGeom>
          </xdr:spPr>
        </xdr:pic>
      </mc:Fallback>
    </mc:AlternateContent>
    <xdr:clientData/>
  </xdr:twoCellAnchor>
  <xdr:twoCellAnchor editAs="oneCell">
    <xdr:from>
      <xdr:col>16</xdr:col>
      <xdr:colOff>18600</xdr:colOff>
      <xdr:row>15</xdr:row>
      <xdr:rowOff>94860</xdr:rowOff>
    </xdr:from>
    <xdr:to>
      <xdr:col>16</xdr:col>
      <xdr:colOff>327120</xdr:colOff>
      <xdr:row>16</xdr:row>
      <xdr:rowOff>27480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
          <xdr14:nvContentPartPr>
            <xdr14:cNvPr id="5" name="Ink 4">
              <a:extLst>
                <a:ext uri="{FF2B5EF4-FFF2-40B4-BE49-F238E27FC236}">
                  <a16:creationId xmlns:a16="http://schemas.microsoft.com/office/drawing/2014/main" id="{428B43B7-17C5-4CDB-8763-8756D0564760}"/>
                </a:ext>
              </a:extLst>
            </xdr14:cNvPr>
            <xdr14:cNvContentPartPr/>
          </xdr14:nvContentPartPr>
          <xdr14:nvPr macro=""/>
          <xdr14:xfrm>
            <a:off x="9772200" y="2952360"/>
            <a:ext cx="308520" cy="123120"/>
          </xdr14:xfrm>
        </xdr:contentPart>
      </mc:Choice>
      <mc:Fallback xmlns="">
        <xdr:pic>
          <xdr:nvPicPr>
            <xdr:cNvPr id="27" name="Ink 26">
              <a:extLst>
                <a:ext uri="{FF2B5EF4-FFF2-40B4-BE49-F238E27FC236}">
                  <a16:creationId xmlns:a16="http://schemas.microsoft.com/office/drawing/2014/main" id="{0E03310B-0E3E-2706-1345-091F50F50E22}"/>
                </a:ext>
              </a:extLst>
            </xdr:cNvPr>
            <xdr:cNvPicPr/>
          </xdr:nvPicPr>
          <xdr:blipFill>
            <a:blip xmlns:r="http://schemas.openxmlformats.org/officeDocument/2006/relationships" r:embed="rId6"/>
            <a:stretch>
              <a:fillRect/>
            </a:stretch>
          </xdr:blipFill>
          <xdr:spPr>
            <a:xfrm>
              <a:off x="9763560" y="2943720"/>
              <a:ext cx="326160" cy="140760"/>
            </a:xfrm>
            <a:prstGeom prst="rect">
              <a:avLst/>
            </a:prstGeom>
          </xdr:spPr>
        </xdr:pic>
      </mc:Fallback>
    </mc:AlternateContent>
    <xdr:clientData/>
  </xdr:twoCellAnchor>
  <xdr:twoCellAnchor editAs="oneCell">
    <xdr:from>
      <xdr:col>16</xdr:col>
      <xdr:colOff>445920</xdr:colOff>
      <xdr:row>14</xdr:row>
      <xdr:rowOff>170880</xdr:rowOff>
    </xdr:from>
    <xdr:to>
      <xdr:col>18</xdr:col>
      <xdr:colOff>97200</xdr:colOff>
      <xdr:row>17</xdr:row>
      <xdr:rowOff>19140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
          <xdr14:nvContentPartPr>
            <xdr14:cNvPr id="6" name="Ink 5">
              <a:extLst>
                <a:ext uri="{FF2B5EF4-FFF2-40B4-BE49-F238E27FC236}">
                  <a16:creationId xmlns:a16="http://schemas.microsoft.com/office/drawing/2014/main" id="{B10D7F8C-5AD2-4C1D-97AE-97620034801B}"/>
                </a:ext>
              </a:extLst>
            </xdr14:cNvPr>
            <xdr14:cNvContentPartPr/>
          </xdr14:nvContentPartPr>
          <xdr14:nvPr macro=""/>
          <xdr14:xfrm>
            <a:off x="10199520" y="2837880"/>
            <a:ext cx="870480" cy="419760"/>
          </xdr14:xfrm>
        </xdr:contentPart>
      </mc:Choice>
      <mc:Fallback xmlns="">
        <xdr:pic>
          <xdr:nvPicPr>
            <xdr:cNvPr id="28" name="Ink 27">
              <a:extLst>
                <a:ext uri="{FF2B5EF4-FFF2-40B4-BE49-F238E27FC236}">
                  <a16:creationId xmlns:a16="http://schemas.microsoft.com/office/drawing/2014/main" id="{E9A1A3DB-1049-8CE2-6094-718DA8C662F9}"/>
                </a:ext>
              </a:extLst>
            </xdr:cNvPr>
            <xdr:cNvPicPr/>
          </xdr:nvPicPr>
          <xdr:blipFill>
            <a:blip xmlns:r="http://schemas.openxmlformats.org/officeDocument/2006/relationships" r:embed="rId8"/>
            <a:stretch>
              <a:fillRect/>
            </a:stretch>
          </xdr:blipFill>
          <xdr:spPr>
            <a:xfrm>
              <a:off x="10190520" y="2829240"/>
              <a:ext cx="888120" cy="437400"/>
            </a:xfrm>
            <a:prstGeom prst="rect">
              <a:avLst/>
            </a:prstGeom>
          </xdr:spPr>
        </xdr:pic>
      </mc:Fallback>
    </mc:AlternateContent>
    <xdr:clientData/>
  </xdr:twoCellAnchor>
  <xdr:twoCellAnchor editAs="oneCell">
    <xdr:from>
      <xdr:col>16</xdr:col>
      <xdr:colOff>590640</xdr:colOff>
      <xdr:row>15</xdr:row>
      <xdr:rowOff>72540</xdr:rowOff>
    </xdr:from>
    <xdr:to>
      <xdr:col>18</xdr:col>
      <xdr:colOff>11520</xdr:colOff>
      <xdr:row>17</xdr:row>
      <xdr:rowOff>11220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7" name="Ink 6">
              <a:extLst>
                <a:ext uri="{FF2B5EF4-FFF2-40B4-BE49-F238E27FC236}">
                  <a16:creationId xmlns:a16="http://schemas.microsoft.com/office/drawing/2014/main" id="{DAA9F0C9-A24D-466D-B874-32D285F3F679}"/>
                </a:ext>
              </a:extLst>
            </xdr14:cNvPr>
            <xdr14:cNvContentPartPr/>
          </xdr14:nvContentPartPr>
          <xdr14:nvPr macro=""/>
          <xdr14:xfrm>
            <a:off x="10344240" y="2930040"/>
            <a:ext cx="640080" cy="319680"/>
          </xdr14:xfrm>
        </xdr:contentPart>
      </mc:Choice>
      <mc:Fallback xmlns="">
        <xdr:pic>
          <xdr:nvPicPr>
            <xdr:cNvPr id="35" name="Ink 34">
              <a:extLst>
                <a:ext uri="{FF2B5EF4-FFF2-40B4-BE49-F238E27FC236}">
                  <a16:creationId xmlns:a16="http://schemas.microsoft.com/office/drawing/2014/main" id="{90D21F31-77E8-65ED-4CE6-2BBC59D27CD2}"/>
                </a:ext>
              </a:extLst>
            </xdr:cNvPr>
            <xdr:cNvPicPr/>
          </xdr:nvPicPr>
          <xdr:blipFill>
            <a:blip xmlns:r="http://schemas.openxmlformats.org/officeDocument/2006/relationships" r:embed="rId10"/>
            <a:stretch>
              <a:fillRect/>
            </a:stretch>
          </xdr:blipFill>
          <xdr:spPr>
            <a:xfrm>
              <a:off x="10326590" y="2912040"/>
              <a:ext cx="675740" cy="355320"/>
            </a:xfrm>
            <a:prstGeom prst="rect">
              <a:avLst/>
            </a:prstGeom>
          </xdr:spPr>
        </xdr:pic>
      </mc:Fallback>
    </mc:AlternateContent>
    <xdr:clientData/>
  </xdr:twoCellAnchor>
  <xdr:twoCellAnchor>
    <xdr:from>
      <xdr:col>6</xdr:col>
      <xdr:colOff>9525</xdr:colOff>
      <xdr:row>1</xdr:row>
      <xdr:rowOff>19050</xdr:rowOff>
    </xdr:from>
    <xdr:to>
      <xdr:col>11</xdr:col>
      <xdr:colOff>28575</xdr:colOff>
      <xdr:row>8</xdr:row>
      <xdr:rowOff>57150</xdr:rowOff>
    </xdr:to>
    <xdr:sp macro="" textlink="">
      <xdr:nvSpPr>
        <xdr:cNvPr id="8" name="TextBox 7">
          <a:extLst>
            <a:ext uri="{FF2B5EF4-FFF2-40B4-BE49-F238E27FC236}">
              <a16:creationId xmlns:a16="http://schemas.microsoft.com/office/drawing/2014/main" id="{18CA1A4B-D27B-47E0-BA2E-F275FD92AEC4}"/>
            </a:ext>
          </a:extLst>
        </xdr:cNvPr>
        <xdr:cNvSpPr txBox="1"/>
      </xdr:nvSpPr>
      <xdr:spPr>
        <a:xfrm>
          <a:off x="4562475" y="209550"/>
          <a:ext cx="3067050" cy="1371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Summary Sentence</a:t>
          </a:r>
        </a:p>
        <a:p>
          <a:r>
            <a:rPr lang="en-GB" sz="1100"/>
            <a:t>SEND</a:t>
          </a:r>
        </a:p>
        <a:p>
          <a:r>
            <a:rPr lang="en-GB" sz="1100"/>
            <a:t>Jones</a:t>
          </a:r>
          <a:r>
            <a:rPr lang="en-GB" sz="1100" baseline="0"/>
            <a:t> to Miami</a:t>
          </a:r>
        </a:p>
        <a:p>
          <a:r>
            <a:rPr lang="en-GB" sz="1100" baseline="0"/>
            <a:t>Smith to New York</a:t>
          </a:r>
        </a:p>
        <a:p>
          <a:r>
            <a:rPr lang="en-GB" sz="1100" baseline="0"/>
            <a:t>Wilson to Omaha</a:t>
          </a:r>
        </a:p>
        <a:p>
          <a:endParaRPr lang="en-GB" sz="1100" baseline="0"/>
        </a:p>
        <a:p>
          <a:r>
            <a:rPr lang="en-GB" sz="1100" baseline="0"/>
            <a:t>For a total relocation of $2,400</a:t>
          </a:r>
        </a:p>
        <a:p>
          <a:endParaRPr lang="en-GB" sz="1100"/>
        </a:p>
      </xdr:txBody>
    </xdr:sp>
    <xdr:clientData/>
  </xdr:twoCellAnchor>
  <xdr:twoCellAnchor>
    <xdr:from>
      <xdr:col>5</xdr:col>
      <xdr:colOff>266700</xdr:colOff>
      <xdr:row>14</xdr:row>
      <xdr:rowOff>142874</xdr:rowOff>
    </xdr:from>
    <xdr:to>
      <xdr:col>9</xdr:col>
      <xdr:colOff>295275</xdr:colOff>
      <xdr:row>19</xdr:row>
      <xdr:rowOff>114299</xdr:rowOff>
    </xdr:to>
    <xdr:sp macro="" textlink="">
      <xdr:nvSpPr>
        <xdr:cNvPr id="9" name="TextBox 8">
          <a:extLst>
            <a:ext uri="{FF2B5EF4-FFF2-40B4-BE49-F238E27FC236}">
              <a16:creationId xmlns:a16="http://schemas.microsoft.com/office/drawing/2014/main" id="{4D55BEC8-94C6-4A60-8B8E-8A588B964DA3}"/>
            </a:ext>
          </a:extLst>
        </xdr:cNvPr>
        <xdr:cNvSpPr txBox="1"/>
      </xdr:nvSpPr>
      <xdr:spPr>
        <a:xfrm>
          <a:off x="4210050" y="2809874"/>
          <a:ext cx="2466975" cy="923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Set</a:t>
          </a:r>
          <a:r>
            <a:rPr lang="en-GB" sz="1100" baseline="0"/>
            <a:t> Obj to B19</a:t>
          </a:r>
        </a:p>
        <a:p>
          <a:r>
            <a:rPr lang="en-GB" sz="1100" baseline="0"/>
            <a:t>Changing cells: B12 to E14</a:t>
          </a:r>
        </a:p>
        <a:p>
          <a:r>
            <a:rPr lang="en-GB" sz="1100" baseline="0"/>
            <a:t>Subjects : B15:E15 &lt;= B17:E17</a:t>
          </a:r>
        </a:p>
        <a:p>
          <a:r>
            <a:rPr lang="en-GB" sz="1100" baseline="0"/>
            <a:t>                  F12:F14 = H12:H14</a:t>
          </a:r>
        </a:p>
        <a:p>
          <a:endParaRPr lang="en-GB"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0</xdr:colOff>
      <xdr:row>0</xdr:row>
      <xdr:rowOff>180975</xdr:rowOff>
    </xdr:from>
    <xdr:to>
      <xdr:col>18</xdr:col>
      <xdr:colOff>600075</xdr:colOff>
      <xdr:row>16</xdr:row>
      <xdr:rowOff>38099</xdr:rowOff>
    </xdr:to>
    <xdr:sp macro="" textlink="">
      <xdr:nvSpPr>
        <xdr:cNvPr id="2" name="TextBox 1">
          <a:extLst>
            <a:ext uri="{FF2B5EF4-FFF2-40B4-BE49-F238E27FC236}">
              <a16:creationId xmlns:a16="http://schemas.microsoft.com/office/drawing/2014/main" id="{9258217B-560E-48FF-85A6-DC0949FC922C}"/>
            </a:ext>
          </a:extLst>
        </xdr:cNvPr>
        <xdr:cNvSpPr txBox="1"/>
      </xdr:nvSpPr>
      <xdr:spPr>
        <a:xfrm>
          <a:off x="7200900" y="180975"/>
          <a:ext cx="4867275" cy="29051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a:solidFill>
                <a:schemeClr val="dk1"/>
              </a:solidFill>
              <a:effectLst/>
              <a:latin typeface="+mn-lt"/>
              <a:ea typeface="+mn-ea"/>
              <a:cs typeface="+mn-cs"/>
            </a:rPr>
            <a:t>Scenario</a:t>
          </a:r>
        </a:p>
        <a:p>
          <a:r>
            <a:rPr lang="en-GB" sz="1100" b="0" i="0">
              <a:solidFill>
                <a:schemeClr val="dk1"/>
              </a:solidFill>
              <a:effectLst/>
              <a:latin typeface="+mn-lt"/>
              <a:ea typeface="+mn-ea"/>
              <a:cs typeface="+mn-cs"/>
            </a:rPr>
            <a:t>Richard Whiteless, chairman of a college’s business department, has decided to apply a new method in assigning professors to courses next semester. As a criterion for judging who should teach each course, Professor Whiteless reviews the past two years’ teaching evaluations (which were filled out by students). Since each of the four professors taught each of the four courses at one time or another during the two-year period, Whiteless is able to record a course rating for each instructor. These ratings are shown in the following table. </a:t>
          </a:r>
        </a:p>
        <a:p>
          <a:r>
            <a:rPr lang="en-GB" sz="1100" b="0" i="0">
              <a:solidFill>
                <a:schemeClr val="dk1"/>
              </a:solidFill>
              <a:effectLst/>
              <a:latin typeface="+mn-lt"/>
              <a:ea typeface="+mn-ea"/>
              <a:cs typeface="+mn-cs"/>
            </a:rPr>
            <a:t>Find the best assignment of professors to courses to maximize the overall teaching rating.</a:t>
          </a:r>
        </a:p>
        <a:p>
          <a:endParaRPr lang="en-GB" sz="1100" b="0" i="0">
            <a:solidFill>
              <a:schemeClr val="dk1"/>
            </a:solidFill>
            <a:effectLst/>
            <a:latin typeface="+mn-lt"/>
            <a:ea typeface="+mn-ea"/>
            <a:cs typeface="+mn-cs"/>
          </a:endParaRPr>
        </a:p>
        <a:p>
          <a:r>
            <a:rPr lang="en-GB" sz="1100" b="1" i="0">
              <a:solidFill>
                <a:schemeClr val="dk1"/>
              </a:solidFill>
              <a:effectLst/>
              <a:latin typeface="+mn-lt"/>
              <a:ea typeface="+mn-ea"/>
              <a:cs typeface="+mn-cs"/>
            </a:rPr>
            <a:t>	Statistics</a:t>
          </a:r>
          <a:r>
            <a:rPr lang="en-GB" sz="1100" b="0" i="0">
              <a:solidFill>
                <a:schemeClr val="dk1"/>
              </a:solidFill>
              <a:effectLst/>
              <a:latin typeface="+mn-lt"/>
              <a:ea typeface="+mn-ea"/>
              <a:cs typeface="+mn-cs"/>
            </a:rPr>
            <a:t>	</a:t>
          </a:r>
          <a:r>
            <a:rPr lang="en-GB" sz="1100" b="1" i="0">
              <a:solidFill>
                <a:schemeClr val="dk1"/>
              </a:solidFill>
              <a:effectLst/>
              <a:latin typeface="+mn-lt"/>
              <a:ea typeface="+mn-ea"/>
              <a:cs typeface="+mn-cs"/>
            </a:rPr>
            <a:t>Management</a:t>
          </a:r>
          <a:r>
            <a:rPr lang="en-GB" sz="1100" b="0" i="0">
              <a:solidFill>
                <a:schemeClr val="dk1"/>
              </a:solidFill>
              <a:effectLst/>
              <a:latin typeface="+mn-lt"/>
              <a:ea typeface="+mn-ea"/>
              <a:cs typeface="+mn-cs"/>
            </a:rPr>
            <a:t>	</a:t>
          </a:r>
          <a:r>
            <a:rPr lang="en-GB" sz="1100" b="1" i="0">
              <a:solidFill>
                <a:schemeClr val="dk1"/>
              </a:solidFill>
              <a:effectLst/>
              <a:latin typeface="+mn-lt"/>
              <a:ea typeface="+mn-ea"/>
              <a:cs typeface="+mn-cs"/>
            </a:rPr>
            <a:t>Finance</a:t>
          </a:r>
          <a:r>
            <a:rPr lang="en-GB" sz="1100" b="0" i="0">
              <a:solidFill>
                <a:schemeClr val="dk1"/>
              </a:solidFill>
              <a:effectLst/>
              <a:latin typeface="+mn-lt"/>
              <a:ea typeface="+mn-ea"/>
              <a:cs typeface="+mn-cs"/>
            </a:rPr>
            <a:t>	</a:t>
          </a:r>
          <a:r>
            <a:rPr lang="en-GB" sz="1100" b="1" i="0">
              <a:solidFill>
                <a:schemeClr val="dk1"/>
              </a:solidFill>
              <a:effectLst/>
              <a:latin typeface="+mn-lt"/>
              <a:ea typeface="+mn-ea"/>
              <a:cs typeface="+mn-cs"/>
            </a:rPr>
            <a:t>Economics</a:t>
          </a:r>
          <a:endParaRPr lang="en-GB" sz="1100" b="0" i="0">
            <a:solidFill>
              <a:schemeClr val="dk1"/>
            </a:solidFill>
            <a:effectLst/>
            <a:latin typeface="+mn-lt"/>
            <a:ea typeface="+mn-ea"/>
            <a:cs typeface="+mn-cs"/>
          </a:endParaRPr>
        </a:p>
        <a:p>
          <a:pPr fontAlgn="t"/>
          <a:r>
            <a:rPr lang="en-GB" sz="1100" b="1" i="0">
              <a:solidFill>
                <a:schemeClr val="dk1"/>
              </a:solidFill>
              <a:effectLst/>
              <a:latin typeface="+mn-lt"/>
              <a:ea typeface="+mn-ea"/>
              <a:cs typeface="+mn-cs"/>
            </a:rPr>
            <a:t>Bain</a:t>
          </a:r>
          <a:r>
            <a:rPr lang="en-GB" sz="1100" b="0" i="0">
              <a:solidFill>
                <a:schemeClr val="dk1"/>
              </a:solidFill>
              <a:effectLst/>
              <a:latin typeface="+mn-lt"/>
              <a:ea typeface="+mn-ea"/>
              <a:cs typeface="+mn-cs"/>
            </a:rPr>
            <a:t>	80	85	95	40</a:t>
          </a:r>
        </a:p>
        <a:p>
          <a:pPr fontAlgn="t"/>
          <a:r>
            <a:rPr lang="en-GB" sz="1100" b="1" i="0">
              <a:solidFill>
                <a:schemeClr val="dk1"/>
              </a:solidFill>
              <a:effectLst/>
              <a:latin typeface="+mn-lt"/>
              <a:ea typeface="+mn-ea"/>
              <a:cs typeface="+mn-cs"/>
            </a:rPr>
            <a:t>Carey</a:t>
          </a:r>
          <a:r>
            <a:rPr lang="en-GB" sz="1100" b="0" i="0">
              <a:solidFill>
                <a:schemeClr val="dk1"/>
              </a:solidFill>
              <a:effectLst/>
              <a:latin typeface="+mn-lt"/>
              <a:ea typeface="+mn-ea"/>
              <a:cs typeface="+mn-cs"/>
            </a:rPr>
            <a:t>	85	30	75	65</a:t>
          </a:r>
        </a:p>
        <a:p>
          <a:pPr fontAlgn="t"/>
          <a:r>
            <a:rPr lang="en-GB" sz="1100" b="1" i="0">
              <a:solidFill>
                <a:schemeClr val="dk1"/>
              </a:solidFill>
              <a:effectLst/>
              <a:latin typeface="+mn-lt"/>
              <a:ea typeface="+mn-ea"/>
              <a:cs typeface="+mn-cs"/>
            </a:rPr>
            <a:t>Dio</a:t>
          </a:r>
          <a:r>
            <a:rPr lang="en-GB" sz="1100" b="0" i="0">
              <a:solidFill>
                <a:schemeClr val="dk1"/>
              </a:solidFill>
              <a:effectLst/>
              <a:latin typeface="+mn-lt"/>
              <a:ea typeface="+mn-ea"/>
              <a:cs typeface="+mn-cs"/>
            </a:rPr>
            <a:t>	90	55	80	70</a:t>
          </a:r>
        </a:p>
        <a:p>
          <a:pPr fontAlgn="t"/>
          <a:r>
            <a:rPr lang="en-GB" sz="1100" b="1" i="0">
              <a:solidFill>
                <a:schemeClr val="dk1"/>
              </a:solidFill>
              <a:effectLst/>
              <a:latin typeface="+mn-lt"/>
              <a:ea typeface="+mn-ea"/>
              <a:cs typeface="+mn-cs"/>
            </a:rPr>
            <a:t>Powell</a:t>
          </a:r>
          <a:r>
            <a:rPr lang="en-GB" sz="1100" b="0" i="0">
              <a:solidFill>
                <a:schemeClr val="dk1"/>
              </a:solidFill>
              <a:effectLst/>
              <a:latin typeface="+mn-lt"/>
              <a:ea typeface="+mn-ea"/>
              <a:cs typeface="+mn-cs"/>
            </a:rPr>
            <a:t>	55	80	65	50</a:t>
          </a:r>
        </a:p>
        <a:p>
          <a:br>
            <a:rPr lang="en-GB" sz="1100" b="0" i="0">
              <a:solidFill>
                <a:schemeClr val="dk1"/>
              </a:solidFill>
              <a:effectLst/>
              <a:latin typeface="+mn-lt"/>
              <a:ea typeface="+mn-ea"/>
              <a:cs typeface="+mn-cs"/>
            </a:rPr>
          </a:br>
          <a:endParaRPr lang="en-GB" sz="1100" b="0" i="0">
            <a:solidFill>
              <a:schemeClr val="dk1"/>
            </a:solidFill>
            <a:effectLst/>
            <a:latin typeface="+mn-lt"/>
            <a:ea typeface="+mn-ea"/>
            <a:cs typeface="+mn-cs"/>
          </a:endParaRPr>
        </a:p>
        <a:p>
          <a:endParaRPr lang="en-GB" sz="1100"/>
        </a:p>
      </xdr:txBody>
    </xdr: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27T23:26:36.769"/>
    </inkml:context>
    <inkml:brush xml:id="br0">
      <inkml:brushProperty name="width" value="0.025" units="cm"/>
      <inkml:brushProperty name="height" value="0.025" units="cm"/>
    </inkml:brush>
  </inkml:definitions>
  <inkml:trace contextRef="#ctx0" brushRef="#br0">526 2 24575,'-128'-2'0,"-139"5"0,262-3 0,1 1 0,-1-1 0,0 1 0,0 0 0,1 1 0,-1-1 0,1 1 0,-1 0 0,1 0 0,0 0 0,0 1 0,0 0 0,0-1 0,0 2 0,-6 5 0,5-3 0,0 1 0,1-1 0,0 1 0,0 0 0,0 0 0,1 0 0,0 1 0,-4 13 0,1 9 0,2 0 0,0 1 0,2 58 0,2-78 0,1 29 0,2-1 0,1 1 0,2-1 0,2 0 0,2 0 0,1-1 0,21 48 0,-18-55 0,1-1 0,1 0 0,2-1 0,1 0 0,2-2 0,0 0 0,2-2 0,48 44 0,-53-56 0,0-1 0,1-1 0,1 0 0,-1-1 0,1-1 0,1-1 0,0-1 0,0-1 0,0 0 0,1-2 0,24 2 0,27-1 0,144-8 0,-187 2 0,30-3 0,-1-1 0,-1-4 0,1-1 0,-2-4 0,1-2 0,-2-2 0,0-3 0,-2-2 0,0-2 0,-2-3 0,78-55 0,-126 79 0,0 0 0,0 0 0,0-1 0,0 0 0,-1 1 0,0-1 0,0 0 0,0 0 0,-1-1 0,1 1 0,-1-1 0,-1 1 0,1-1 0,-1 1 0,0-1 0,0 0 0,0 0 0,-1 0 0,0 0 0,0 1 0,-1-1 0,1 0 0,-4-10 0,-1-6 0,0-1 0,-2 1 0,-1 0 0,-16-33 0,15 37 0,-1 0 0,0 0 0,-2 1 0,0 1 0,0 0 0,-1 0 0,-18-15 0,22 24 0,0 0 0,0 0 0,-1 1 0,1 0 0,-2 1 0,1 0 0,0 1 0,-1 0 0,0 1 0,0 0 0,0 0 0,0 1 0,-1 1 0,-13-1 0,-27 1 0,1-2 0,0-2 0,-96-22 0,-59-46 0,132 44 0,-135-34 0,188 59-341,-1 1 0,0 2-1,-29 0 1,30 2-6485</inkml:trace>
  <inkml:trace contextRef="#ctx0" brushRef="#br0" timeOffset="1">341 346 24575,'-2'22'0,"-1"1"0,0-1 0,-2 0 0,-7 22 0,-8 40 0,5-8 0,9-50 0,1 0 0,1 0 0,1 1 0,1-1 0,2 28 0,0-52 0,1 1 0,0 0 0,0 0 0,0-1 0,0 1 0,0 0 0,1-1 0,-1 1 0,1-1 0,0 0 0,-1 1 0,1-1 0,0 0 0,0 0 0,1 0 0,-1 0 0,0-1 0,1 1 0,-1-1 0,1 1 0,-1-1 0,1 0 0,-1 0 0,1 0 0,0 0 0,0 0 0,0-1 0,-1 1 0,6-1 0,12 3 0,0-2 0,0 0 0,26-3 0,-21 0 0,10 1-1365,-5 0-5461</inkml:trace>
  <inkml:trace contextRef="#ctx0" brushRef="#br0" timeOffset="2">685 478 24575,'2'103'0,"0"-54"0,-1 1 0,-2-1 0,-3 0 0,-1-1 0,-15 61 0,-2-62 0,22-47 0,-1 1 0,1 0 0,0-1 0,-1 1 0,1-1 0,-1 1 0,1-1 0,-1 1 0,1-1 0,-1 1 0,0-1 0,1 1 0,-1-1 0,1 0 0,-1 1 0,0-1 0,1 0 0,-1 1 0,0-1 0,1 0 0,-1 0 0,0 0 0,-1 0 0,2 0 0,-1-1 0,0 0 0,0 1 0,0-1 0,0 0 0,0 0 0,1 0 0,-1 0 0,0 0 0,1 0 0,-1 0 0,1 0 0,-1 0 0,1 0 0,-1 0 0,1 0 0,0 0 0,-1 0 0,1 0 0,0-2 0,-4-17 0,1 0 0,0-1 0,2 1 0,0 0 0,2 0 0,0-1 0,1 1 0,1 0 0,1 0 0,8-25 0,10-16 0,54-108 0,-65 145 0,-6 14 0,0 0 0,0 1 0,1-1 0,0 1 0,10-10 0,-13 15 0,1 1 0,-1 0 0,1 1 0,0-1 0,0 1 0,0-1 0,0 1 0,0 0 0,1 1 0,-1-1 0,1 1 0,-1 0 0,1 0 0,-1 0 0,6 1 0,66-4 0,104 8 0,-176-4 0,0 0 0,1 0 0,-1 1 0,0 0 0,0 0 0,0 0 0,0 0 0,0 1 0,0-1 0,0 1 0,-1 0 0,1 0 0,0 1 0,-1-1 0,0 1 0,1 0 0,-1-1 0,0 2 0,-1-1 0,4 4 0,-4-3 0,0 0 0,0 1 0,-1-1 0,1 1 0,-1-1 0,0 1 0,0-1 0,-1 1 0,0 0 0,1-1 0,-1 1 0,-1-1 0,1 1 0,-1 0 0,0-1 0,0 1 0,0-1 0,-3 6 0,2-2 0,-1-1 0,-1 0 0,1 0 0,-1 0 0,-1 0 0,1-1 0,-1 1 0,0-1 0,-1 0 0,1-1 0,-1 1 0,-9 5 0,3-3 0,0 0 0,-1-1 0,0-1 0,0 0 0,-1-1 0,-18 5 0,-6-2 0,-1-2 0,1-1 0,-1-1 0,-45-3 0,-112-5-1365,174 4-5461</inkml:trace>
  <inkml:trace contextRef="#ctx0" brushRef="#br0" timeOffset="3">1532 848 24575,'9'0'0,"34"0"0,33 0 0,21 0 0,12 0 0,6 0 0,-8 0 0,-9 0 0,-12 5 0,-11 1 0,-14 4 0,-14 0 0,-9-1 0,-12-2-8191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27T23:26:36.773"/>
    </inkml:context>
    <inkml:brush xml:id="br0">
      <inkml:brushProperty name="width" value="0.035" units="cm"/>
      <inkml:brushProperty name="height" value="0.035" units="cm"/>
      <inkml:brushProperty name="color" value="#E71224"/>
    </inkml:brush>
  </inkml:definitions>
  <inkml:trace contextRef="#ctx0" brushRef="#br0">611 1 24575,'-6'0'0,"1"1"0,0 0 0,-1 0 0,1 0 0,0 1 0,0 0 0,0 0 0,0 0 0,0 0 0,-6 5 0,-46 36 0,38-27 0,-17 15 0,1 1 0,2 2 0,1 1 0,-50 73 0,30-27 0,-59 125 0,97-172 0,-18 67 0,14-39 0,11-43 0,2 0 0,0 1 0,1 0 0,2 0 0,-2 36 0,4-48 0,1 0 0,0 0 0,0 0 0,1 1 0,0-1 0,0-1 0,1 1 0,0 0 0,0-1 0,1 1 0,0-1 0,0 0 0,0 0 0,1 0 0,1-1 0,9 10 0,4 0 0,1-1 0,0-2 0,1 0 0,1-1 0,0-1 0,0-1 0,1-1 0,1-1 0,38 8 0,19 0 0,124 8 0,504-10 0,-521-16 0,-168 1 0,-1 0 0,1-1 0,-1-2 0,0 0 0,0-1 0,0 0 0,-1-2 0,0 0 0,0-1 0,-1-1 0,28-19 0,-7 0 0,-2-1 0,-1-3 0,52-58 0,-81 83 0,0 2 0,-1 0 0,1-1 0,-1 1 0,0-1 0,-1-1 0,0 1 0,0 0 0,0-1 0,0 0 0,-1 0 0,0 0 0,-1-1 0,0 1 0,0 0 0,0-1 0,-1 0 0,0-7 0,-2-6 0,0 0 0,-2 0 0,-1 0 0,0 1 0,-15-39 0,-50-100 0,46 111 0,5 15 0,-2 1 0,-1 1 0,-2 1 0,-1 1 0,-1 0 0,-56-46 0,68 64 0,0 2 0,-1-1 0,0 1 0,-1 1 0,0 1 0,0 0 0,-1 1 0,0 0 0,0 1 0,0 1 0,-32-3 0,-10 2 0,0 3 0,-65 6 0,8 0 0,60-4 0,15 2 0,-1-1 0,1-3 0,-1-1 0,1-2 0,0-2 0,-43-13 0,51 9 0,1-1 0,-1-2 0,-44-27 0,40 26-1365,18 11-5461</inkml:trace>
  <inkml:trace contextRef="#ctx0" brushRef="#br0" timeOffset="1">109 530 24575,'4'0'0,"16"-5"0,17 0 0,7-1 0,5 1 0,-1-2 0,-5-1 0,-5-4 0,-4-3 0,-3 0 0,-3-2 0,-2 3 0,-4 3-8191</inkml:trace>
  <inkml:trace contextRef="#ctx0" brushRef="#br0" timeOffset="2">347 530 24575,'0'5'0,"0"10"0,0 16 0,0 7 0,0 7 0,0 4 0,0-1 0,0-5 0,0-5 0,0-5 0,0-3 0,0-2 0,0-6-8191</inkml:trace>
  <inkml:trace contextRef="#ctx0" brushRef="#br0" timeOffset="3">559 636 24575,'-1'28'0,"1"36"0,2-46 0,-1-16 0,1-7 0,3-8 0,0 0 0,1 0 0,0 0 0,1 1 0,1 0 0,-1 0 0,2 1 0,0 0 0,0 0 0,1 1 0,16-13 0,14-7 0,83-50 0,-38 28 0,-19 13-1365,-40 27-5461</inkml:trace>
  <inkml:trace contextRef="#ctx0" brushRef="#br0" timeOffset="4">982 742 24575,'-37'-1'0,"23"0"0,-1 1 0,1 0 0,-1 1 0,-25 5 0,36-5 0,0 0 0,0 0 0,0 1 0,0 0 0,0 0 0,1 0 0,-1 0 0,1 1 0,0-1 0,-1 1 0,1 0 0,0 0 0,1 0 0,-1 0 0,0 0 0,1 1 0,0-1 0,0 1 0,0-1 0,0 1 0,-1 5 0,-1 0 0,2 0 0,-1-1 0,1 1 0,0 0 0,1 0 0,0 0 0,1 0 0,0 0 0,0 0 0,2 10 0,-1-15 0,0 0 0,0 0 0,0 0 0,1 0 0,-1 0 0,1-1 0,0 1 0,0 0 0,0-1 0,1 0 0,-1 1 0,1-1 0,0 0 0,0 0 0,0-1 0,0 1 0,1 0 0,-1-1 0,1 0 0,-1 0 0,1 0 0,0 0 0,5 1 0,1 1 0,-1-1 0,1-1 0,0 0 0,1 0 0,-1-1 0,20 0 0,-27-1 0,-1 0 0,1 0 0,0 0 0,-1-1 0,1 1 0,0-1 0,-1 0 0,1 0 0,-1 0 0,1 0 0,-1 0 0,0-1 0,1 1 0,-1-1 0,0 1 0,0-1 0,0 0 0,0 0 0,0 0 0,-1 0 0,1 0 0,0 0 0,-1-1 0,0 1 0,1 0 0,-1-1 0,0 1 0,0-1 0,-1 1 0,2-6 0,1-22 0,2-11 0,-5 41 0,0 0 0,0 0 0,0-1 0,1 1 0,-1 0 0,0 0 0,0 0 0,0-1 0,0 1 0,0 0 0,0 0 0,0 0 0,1 0 0,-1 0 0,0-1 0,0 1 0,0 0 0,0 0 0,1 0 0,-1 0 0,0 0 0,0 0 0,0 0 0,0 0 0,1 0 0,-1-1 0,0 1 0,0 0 0,0 0 0,1 0 0,-1 0 0,0 0 0,0 0 0,1 0 0,-1 0 0,0 1 0,0-1 0,0 0 0,0 0 0,1 0 0,-1 0 0,0 0 0,0 0 0,0 0 0,1 0 0,8 12 0,6 18 0,-14-28 0,70 133-1365,-60-111-5461</inkml:trace>
  <inkml:trace contextRef="#ctx0" brushRef="#br0" timeOffset="5">1141 927 24575,'-2'-7'0,"1"0"0,-1 0 0,0 0 0,-1 0 0,0 0 0,0 1 0,-6-11 0,-4-8 0,8 12 0,-7-14 0,-13-50 0,23 70 0,0-1 0,1 1 0,0 0 0,0-1 0,1 1 0,0-1 0,0 1 0,1-1 0,0 1 0,0 0 0,1-1 0,3-9 0,-4 15 0,0 1 0,-1-1 0,1 1 0,0-1 0,0 1 0,0-1 0,0 1 0,0 0 0,0-1 0,0 1 0,1 0 0,-1 0 0,0 0 0,1 0 0,-1 0 0,1 0 0,-1 0 0,1 0 0,-1 1 0,1-1 0,0 1 0,-1-1 0,1 1 0,2-1 0,0 1 0,-1 0 0,1 1 0,0-1 0,-1 1 0,1-1 0,0 1 0,-1 1 0,1-1 0,-1 0 0,1 1 0,2 2 0,2 0 0,0 1 0,-1 0 0,1 1 0,-1-1 0,-1 1 0,1 1 0,-1-1 0,0 1 0,6 10 0,0 11 0,0 2 0,-2 0 0,-1 0 0,6 40 0,-2-12 0,-5-14-1365,-7-24-5461</inkml:trace>
  <inkml:trace contextRef="#ctx0" brushRef="#br0" timeOffset="6">1432 557 24575,'-13'140'0,"1"-26"0,9 205 0,4-222 0,-4-230 0,3-83 0,2 173 0,2 1 0,18-83 0,-18 112 0,0-1 0,1 1 0,0-1 0,12-21 0,-14 31 0,-1 1 0,0-1 0,1 1 0,0-1 0,0 1 0,0 0 0,0 0 0,0 0 0,1 0 0,-1 1 0,1 0 0,0-1 0,0 1 0,0 0 0,0 1 0,0-1 0,0 1 0,0 0 0,7-1 0,-3 0 0,1 1 0,0 1 0,0 0 0,0 0 0,-1 0 0,1 1 0,0 1 0,0-1 0,15 6 0,-20-5 0,-1 0 0,1 1 0,0-1 0,-1 1 0,0 0 0,0-1 0,1 2 0,-2-1 0,1 0 0,0 1 0,-1-1 0,1 1 0,-1-1 0,0 1 0,0 0 0,-1 0 0,1 0 0,-1 0 0,0 1 0,0-1 0,0 0 0,0 5 0,0-3 0,-1 0 0,1 1 0,-1-1 0,0 0 0,0 1 0,-1-1 0,0 0 0,0 0 0,0 0 0,-1 1 0,0-1 0,0-1 0,-1 1 0,1 0 0,-1 0 0,-5 6 0,2-4 0,-1 0 0,0-1 0,0 0 0,-1 0 0,0-1 0,0 0 0,0 0 0,-1-1 0,-13 6 0,-2 0 0,0-3 0,0 0 0,-1-1 0,0-1 0,-1-1 0,1-2 0,-34 1 0,29-4-1365,6-1-5461</inkml:trace>
  <inkml:trace contextRef="#ctx0" brushRef="#br0" timeOffset="7">1723 1007 24575,'-24'0'0,"-39"1"0,-1-4 0,-79-11 0,139 13 0,0 0 0,0 1 0,0-1 0,0 1 0,-1 0 0,1 1 0,0-1 0,0 1 0,0-1 0,0 1 0,0 0 0,0 1 0,-6 2 0,9-3 0,-1 0 0,1 0 0,0 0 0,-1 1 0,1-1 0,0 0 0,0 1 0,-1-1 0,1 1 0,0 0 0,1-1 0,-1 1 0,0 0 0,0-1 0,1 1 0,-1 0 0,1 0 0,-1 0 0,1 0 0,0-1 0,0 1 0,0 0 0,0 0 0,0 0 0,0 0 0,1 0 0,-1 0 0,0-1 0,1 1 0,-1 0 0,1 0 0,2 2 0,-2 1 0,1-1 0,0 1 0,0-1 0,1 0 0,-1 0 0,1 0 0,0 0 0,0-1 0,0 1 0,1-1 0,-1 1 0,1-1 0,0 0 0,0-1 0,0 1 0,0-1 0,0 0 0,1 0 0,4 2 0,8 1 0,0-1 0,1 0 0,34 2 0,-36-5 0,0 0 0,0 2 0,0 0 0,24 8 0,-26-5 0,-6-4 0,-1 1 0,0 0 0,1 1 0,-2 0 0,12 7 0,-17-10 0,0 0 0,1 0 0,-1 0 0,0 1 0,0-1 0,-1 0 0,1 0 0,0 1 0,0-1 0,-1 0 0,1 1 0,0-1 0,-1 1 0,0-1 0,1 1 0,-1-1 0,0 1 0,0-1 0,1 1 0,-1-1 0,0 1 0,-1-1 0,1 1 0,0-1 0,0 1 0,-1-1 0,1 1 0,-1-1 0,1 0 0,-1 1 0,0-1 0,1 1 0,-1-1 0,0 0 0,-1 2 0,-5 6-97,0 0-1,0-1 1,0 0-1,-2 0 1,1 0-1,-1-1 1,1 0-1,-2-1 1,1 0-1,-1-1 1,0 0-1,0 0 0,-12 3 1,-4-1-6729</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27T23:26:36.781"/>
    </inkml:context>
    <inkml:brush xml:id="br0">
      <inkml:brushProperty name="width" value="0.05" units="cm"/>
      <inkml:brushProperty name="height" value="0.05" units="cm"/>
      <inkml:brushProperty name="color" value="#AE198D"/>
      <inkml:brushProperty name="inkEffects" value="galaxy"/>
      <inkml:brushProperty name="anchorX" value="0"/>
      <inkml:brushProperty name="anchorY" value="0"/>
      <inkml:brushProperty name="scaleFactor" value="0.5"/>
    </inkml:brush>
  </inkml:definitions>
  <inkml:trace contextRef="#ctx0" brushRef="#br0">1 1 24575,'0'0'0,"4"4"0,29 8 0,31 9 0,32 16 0,11 8 0,2 2 0,-3-3 0,-17-8 0,-17-11 0,-17-9 0,-18-2 0,-10-5 0,-11 2 0,-1-3 0,-1-1 0,-3-2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27T23:26:36.782"/>
    </inkml:context>
    <inkml:brush xml:id="br0">
      <inkml:brushProperty name="width" value="0.05" units="cm"/>
      <inkml:brushProperty name="height" value="0.05" units="cm"/>
      <inkml:brushProperty name="color" value="#AE198D"/>
      <inkml:brushProperty name="inkEffects" value="galaxy"/>
      <inkml:brushProperty name="anchorX" value="-2125.79419"/>
      <inkml:brushProperty name="anchorY" value="-1611.05481"/>
      <inkml:brushProperty name="scaleFactor" value="0.5"/>
    </inkml:brush>
  </inkml:definitions>
  <inkml:trace contextRef="#ctx0" brushRef="#br0">587 1 24575,'0'0'0,"-5"0"0,-6 0 0,-11 0 0,-14 5 0,-15 6 0,-1 5 0,-4 5 0,1 3 0,5 2 0,11 0 0,6-3 0,6 4 0,2 6 0,1 11 0,0 0 0,0 0 0,4 0 0,5-2 0,6-5 0,3-3 0,4-3 0,1-3 0,2-1 0,-1-1 0,1 5 0,5 6 0,16-1 0,16 6 0,15-3 0,7 3 0,14-3 0,4-2 0,10 2 0,1-3 0,6-2 0,-8-2 0,-7-8 0,-3-1 0,-3-7 0,6-5 0,1-4 0,6-4 0,-5 4 0,5-2 0,-7-1 0,-1 0 0,-6-2 0,-7-1 0,-4 0 0,0-1 0,-2 0 0,4 0 0,9-1 0,3 1 0,-6 0 0,-5 0 0,-10 0 0,-9 0 0,-8 0 0,-6 0 0,-9-5 0,-3-6 0,-5-5 0,-6-5 0,-3-13 0,-4-13 0,-1-2 0,-1-9 0,-1-1 0,-6-5 0,-10-6 0,-10 2 0,-11 2 0,-6 4 0,-6 3 0,-3 3 0,-1 2 0,4 6 0,0 6 0,1 6 0,0 4 0,3 3 0,1 3 0,-2 0 0,5 6 0,3 6 0,9-1 0,4 5 0,3 2 0,0 3 0,-5 2 0,-6 2 0,-7 1 0,-10 1 0,-9-1 0,-9 1 0,-5-1 0,7 1 0,-2-1 0,4 0 0,8 0 0,10 0 0,2 0 0,6 0 0,4 0 0,4 0 0,3 0 0,1 0 0,1 0 0,0 0 0,0 0 0,1 0 0,-6 0 0,-1 0 0,0 0 0,2 0 0,0 0 0,2 0 0,0 0 0,1 0 0,6 0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27T23:26:36.783"/>
    </inkml:context>
    <inkml:brush xml:id="br0">
      <inkml:brushProperty name="width" value="0.1" units="cm"/>
      <inkml:brushProperty name="height" value="0.1" units="cm"/>
      <inkml:brushProperty name="color" value="#008C3A"/>
    </inkml:brush>
  </inkml:definitions>
  <inkml:trace contextRef="#ctx0" brushRef="#br0">158 89 9830,'-3'18'334,"0"-1"0,0 1 1,-2-1-1,0 0 0,-1 0 0,-16 30 0,8-15 94,-72 129 1576,78-153-1151,6-21-415,4-28-564,7-2-45,2 1 0,1 0-1,2 1 1,2 0 0,33-59 0,-45 94 191,0 0 0,0 0 0,0 0 0,1 1 0,0-1 1,0 1-1,1 0 0,-1 1 0,1-1 0,0 1 0,0 0 1,1 0-1,7-3 0,-11 6 10,0 0 1,-1 1 0,1-1-1,0 0 1,0 1-1,-1 0 1,1-1-1,0 1 1,0 0-1,0 0 1,-1 1 0,1-1-1,0 1 1,0-1-1,0 1 1,-1 0-1,1 0 1,-1 0-1,1 0 1,-1 1 0,1-1-1,-1 1 1,0-1-1,1 1 1,-1 0-1,0 0 1,0 0-1,0 0 1,-1 0 0,1 0-1,0 1 1,-1-1-1,1 1 1,-1-1-1,0 1 1,1 3-1,15 37 495,-2 1 0,-2 1 0,8 47 0,2 11 122,-14-71-414,-3 0 1,0 0-1,1 43 0,-7-52-200</inkml:trace>
  <inkml:trace contextRef="#ctx0" brushRef="#br0" timeOffset="1">53 354 9830,'4'0'273,"6"0"0,7 0 0,3 0 0,4 0 0,2 0 0,1 0 1,1 0-1,0 0 0,-1 0 0,0 0 0,-4 0-273</inkml:trace>
  <inkml:trace contextRef="#ctx0" brushRef="#br0" timeOffset="2">899 142 9830,'-7'-1'138,"1"1"0,-1 0 0,1 1 0,-1 0 0,1-1 0,-1 2 0,1-1 0,0 1 0,0 0 0,-7 3 0,11-3-83,-1 1 1,0-1 0,1 0-1,0 1 1,0 0-1,-1-1 1,1 1 0,1 0-1,-1 0 1,0 0-1,1 0 1,0 0-1,-1 1 1,1-1 0,0 0-1,1 1 1,-1-1-1,1 1 1,-1-1 0,1 6-1,0-3 30,0 1 0,1-1 0,-1 0 0,1 0 0,1 1 0,-1-1 1,1 0-1,0 0 0,0 0 0,1-1 0,0 1 0,0 0 0,0-1 0,0 0 0,1 0 0,0 0 0,0 0 0,0 0 0,1-1 0,0 0 0,0 0 0,0 0 0,0-1 0,9 5 0,2 1 101,0-1 0,1-1 0,0 0 0,1-1 0,0-1-1,0-1 1,23 3 0,-11 3 176,-30-10-338,1 1-1,-1-1 1,1 0 0,-1 1 0,1-1-1,-1 1 1,1-1 0,-1 1 0,0 0-1,1-1 1,-1 1 0,0-1-1,1 1 1,-1 0 0,0-1 0,0 1-1,0 0 1,0-1 0,1 1 0,-1 0-1,0-1 1,0 1 0,0 0-1,0-1 1,-1 2 0,0 0 51,0 1 0,-1-1-1,1 1 1,-1-1 0,0 1 0,1-1 0,-1 0 0,0 0-1,-1 0 1,1 0 0,0 0 0,0 0 0,-1-1 0,1 1-1,-1-1 1,-3 2 0,-22 12 243,-1-1 0,0-2-1,-1-1 1,-1-1 0,0-1 0,0-2 0,0-1-1,-1-1 1,-43 0 0,53-6-273</inkml:trace>
  <inkml:trace contextRef="#ctx0" brushRef="#br0" timeOffset="3">1376 301 9830,'-3'0'73,"0"1"-1,0 0 1,0 0 0,0 0-1,0 0 1,0 1 0,0-1-1,1 1 1,-1-1 0,1 1-1,-1 0 1,1 0 0,-1 0-1,1 0 1,0 1 0,0-1-1,0 1 1,1-1 0,-1 1-1,0 0 1,1-1 0,0 1-1,-2 5 1,-1 0 63,1 1 0,0 0-1,0 0 1,1 0 0,0 0 0,0 15 0,2-19-55,0 0 1,0 0 0,1 0-1,0-1 1,0 1 0,0 0 0,0-1-1,1 1 1,0-1 0,0 0 0,0 1-1,0-1 1,1 0 0,0 0-1,-1 0 1,5 4 0,0-2 65,0 0-1,0-1 1,0 1 0,1-1-1,-1-1 1,1 1 0,1-1-1,8 3 1,11 2 163,1-1 0,0-1-1,1-2 1,32 2 0,-20-5-90,-24-3-66,0 2-1,-1 0 1,19 4 0,-33-4-115,0 0 1,0-1 0,0 1 0,0 0 0,0 0 0,0 1 0,0-1-1,0 0 1,0 1 0,-1 0 0,1 0 0,-1 0 0,1 0 0,-1 0-1,0 0 1,1 1 0,-1-1 0,-1 1 0,1-1 0,0 1 0,-1 0 0,3 4-1,-4-4 26,1 0 0,-1 0 0,1 0-1,-1 0 1,0 0 0,0 0 0,-1 0-1,1 0 1,0 0 0,-1 0 0,0 0 0,0 0-1,0 0 1,0 0 0,0 0 0,-1-1-1,1 1 1,-1 0 0,1-1 0,-1 1-1,0-1 1,0 0 0,-3 3 0,-4 3 223,0 0 0,0-1 0,-1 0-1,-19 12 1,-15 2 155,0-2-1,-2-2 0,0-1 0,0-3 0,-1-1 0,-1-3 0,0-2 1,0-2-1,-66-1 0,89-5-397</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58A6B-64CD-4A6B-95B1-17A5DB01F479}">
  <dimension ref="A1:G27"/>
  <sheetViews>
    <sheetView tabSelected="1" zoomScale="90" zoomScaleNormal="90" workbookViewId="0">
      <selection activeCell="XEM21" sqref="XEM21"/>
    </sheetView>
  </sheetViews>
  <sheetFormatPr defaultRowHeight="15" x14ac:dyDescent="0.25"/>
  <cols>
    <col min="1" max="1" width="20.42578125" bestFit="1" customWidth="1"/>
    <col min="2" max="2" width="13.7109375" bestFit="1" customWidth="1"/>
    <col min="3" max="3" width="11.5703125" bestFit="1" customWidth="1"/>
  </cols>
  <sheetData>
    <row r="1" spans="1:7" ht="15.75" x14ac:dyDescent="0.25">
      <c r="A1" s="1" t="s">
        <v>0</v>
      </c>
    </row>
    <row r="3" spans="1:7" x14ac:dyDescent="0.25">
      <c r="A3" s="2" t="s">
        <v>1</v>
      </c>
      <c r="B3" s="2" t="s">
        <v>2</v>
      </c>
      <c r="C3" s="2" t="s">
        <v>3</v>
      </c>
      <c r="D3" s="2" t="s">
        <v>4</v>
      </c>
    </row>
    <row r="4" spans="1:7" x14ac:dyDescent="0.25">
      <c r="A4" s="3">
        <v>1</v>
      </c>
      <c r="B4" s="3" t="s">
        <v>5</v>
      </c>
      <c r="C4" s="3">
        <v>5</v>
      </c>
      <c r="D4" s="4">
        <v>0</v>
      </c>
    </row>
    <row r="5" spans="1:7" x14ac:dyDescent="0.25">
      <c r="A5" s="5">
        <v>1</v>
      </c>
      <c r="B5" s="3" t="s">
        <v>6</v>
      </c>
      <c r="C5" s="5">
        <v>8</v>
      </c>
      <c r="D5" s="4">
        <v>60</v>
      </c>
    </row>
    <row r="6" spans="1:7" x14ac:dyDescent="0.25">
      <c r="A6" s="5">
        <v>1</v>
      </c>
      <c r="B6" s="3" t="s">
        <v>7</v>
      </c>
      <c r="C6" s="5">
        <v>6</v>
      </c>
      <c r="D6" s="4">
        <v>0</v>
      </c>
    </row>
    <row r="7" spans="1:7" x14ac:dyDescent="0.25">
      <c r="A7" s="5">
        <v>2</v>
      </c>
      <c r="B7" s="3" t="s">
        <v>5</v>
      </c>
      <c r="C7" s="5">
        <v>10</v>
      </c>
      <c r="D7" s="4">
        <v>45</v>
      </c>
    </row>
    <row r="8" spans="1:7" x14ac:dyDescent="0.25">
      <c r="A8" s="5">
        <v>2</v>
      </c>
      <c r="B8" s="3" t="s">
        <v>6</v>
      </c>
      <c r="C8" s="5">
        <v>9</v>
      </c>
      <c r="D8" s="4">
        <v>30</v>
      </c>
    </row>
    <row r="9" spans="1:7" x14ac:dyDescent="0.25">
      <c r="A9" s="5">
        <v>2</v>
      </c>
      <c r="B9" s="3" t="s">
        <v>7</v>
      </c>
      <c r="C9" s="5">
        <v>12</v>
      </c>
      <c r="D9" s="4">
        <v>30</v>
      </c>
    </row>
    <row r="10" spans="1:7" x14ac:dyDescent="0.25">
      <c r="A10" s="5">
        <v>3</v>
      </c>
      <c r="B10" s="3" t="s">
        <v>5</v>
      </c>
      <c r="C10" s="5">
        <v>7</v>
      </c>
      <c r="D10" s="4">
        <v>0</v>
      </c>
    </row>
    <row r="11" spans="1:7" x14ac:dyDescent="0.25">
      <c r="A11" s="6">
        <v>3</v>
      </c>
      <c r="B11" s="7" t="s">
        <v>6</v>
      </c>
      <c r="C11" s="5">
        <v>6</v>
      </c>
      <c r="D11" s="4">
        <v>0</v>
      </c>
    </row>
    <row r="12" spans="1:7" x14ac:dyDescent="0.25">
      <c r="A12" s="3">
        <v>3</v>
      </c>
      <c r="B12" s="3" t="s">
        <v>7</v>
      </c>
      <c r="C12" s="5">
        <v>10</v>
      </c>
      <c r="D12" s="4">
        <v>5</v>
      </c>
      <c r="E12" s="8"/>
    </row>
    <row r="13" spans="1:7" x14ac:dyDescent="0.25">
      <c r="A13" s="9"/>
      <c r="B13" s="10"/>
      <c r="C13" s="10"/>
      <c r="D13" s="10"/>
    </row>
    <row r="14" spans="1:7" x14ac:dyDescent="0.25">
      <c r="A14" s="10"/>
      <c r="B14" s="10"/>
      <c r="C14" s="10"/>
      <c r="D14" s="10"/>
      <c r="F14" s="11"/>
      <c r="G14" s="11"/>
    </row>
    <row r="15" spans="1:7" x14ac:dyDescent="0.25">
      <c r="A15" s="12" t="s">
        <v>1</v>
      </c>
      <c r="B15" s="10"/>
      <c r="C15" s="10"/>
      <c r="D15" s="10"/>
      <c r="F15" s="11"/>
      <c r="G15" s="11"/>
    </row>
    <row r="16" spans="1:7" x14ac:dyDescent="0.25">
      <c r="A16" s="13" t="s">
        <v>8</v>
      </c>
      <c r="B16" s="13" t="s">
        <v>9</v>
      </c>
      <c r="C16" s="13" t="s">
        <v>10</v>
      </c>
      <c r="D16" s="13" t="s">
        <v>11</v>
      </c>
    </row>
    <row r="17" spans="1:6" x14ac:dyDescent="0.25">
      <c r="A17" s="3">
        <v>1</v>
      </c>
      <c r="B17" s="4">
        <f>SUMIF($A$4:$A$12,A17,$D$4:$D$12)</f>
        <v>60</v>
      </c>
      <c r="C17" s="14" t="s">
        <v>12</v>
      </c>
      <c r="D17" s="14">
        <v>60</v>
      </c>
      <c r="F17" t="str">
        <f ca="1">_xlfn.FORMULATEXT(B17)</f>
        <v>=SUMIF($A$4:$A$12,A17,$D$4:$D$12)</v>
      </c>
    </row>
    <row r="18" spans="1:6" x14ac:dyDescent="0.25">
      <c r="A18" s="3">
        <v>2</v>
      </c>
      <c r="B18" s="4">
        <f t="shared" ref="B18:B19" si="0">SUMIF($A$4:$A$12,A18,$D$4:$D$12)</f>
        <v>105</v>
      </c>
      <c r="C18" s="14" t="s">
        <v>12</v>
      </c>
      <c r="D18" s="14">
        <v>105</v>
      </c>
      <c r="F18" t="str">
        <f t="shared" ref="F18:F19" ca="1" si="1">_xlfn.FORMULATEXT(B18)</f>
        <v>=SUMIF($A$4:$A$12,A18,$D$4:$D$12)</v>
      </c>
    </row>
    <row r="19" spans="1:6" x14ac:dyDescent="0.25">
      <c r="A19" s="3">
        <v>3</v>
      </c>
      <c r="B19" s="4">
        <f t="shared" si="0"/>
        <v>5</v>
      </c>
      <c r="C19" s="14" t="s">
        <v>12</v>
      </c>
      <c r="D19" s="3">
        <v>70</v>
      </c>
      <c r="F19" t="str">
        <f t="shared" ca="1" si="1"/>
        <v>=SUMIF($A$4:$A$12,A19,$D$4:$D$12)</v>
      </c>
    </row>
    <row r="21" spans="1:6" x14ac:dyDescent="0.25">
      <c r="A21" s="15" t="s">
        <v>2</v>
      </c>
    </row>
    <row r="22" spans="1:6" x14ac:dyDescent="0.25">
      <c r="A22" s="13" t="s">
        <v>13</v>
      </c>
      <c r="B22" s="13" t="s">
        <v>14</v>
      </c>
      <c r="C22" s="13" t="s">
        <v>10</v>
      </c>
      <c r="D22" s="13" t="s">
        <v>11</v>
      </c>
    </row>
    <row r="23" spans="1:6" x14ac:dyDescent="0.25">
      <c r="A23" s="3" t="s">
        <v>5</v>
      </c>
      <c r="B23" s="4">
        <f>SUMIF($B$4:$B$12,A23,$D$4:$D$12)</f>
        <v>45</v>
      </c>
      <c r="C23" s="3" t="s">
        <v>15</v>
      </c>
      <c r="D23" s="3">
        <v>45</v>
      </c>
      <c r="F23" t="str">
        <f ca="1">_xlfn.FORMULATEXT(B23)</f>
        <v>=SUMIF($B$4:$B$12,A23,$D$4:$D$12)</v>
      </c>
    </row>
    <row r="24" spans="1:6" x14ac:dyDescent="0.25">
      <c r="A24" s="3" t="s">
        <v>6</v>
      </c>
      <c r="B24" s="4">
        <f t="shared" ref="B24:B25" si="2">SUMIF($B$4:$B$12,A24,$D$4:$D$12)</f>
        <v>90</v>
      </c>
      <c r="C24" s="3" t="s">
        <v>15</v>
      </c>
      <c r="D24" s="3">
        <v>90</v>
      </c>
      <c r="F24" t="str">
        <f t="shared" ref="F24:F25" ca="1" si="3">_xlfn.FORMULATEXT(B24)</f>
        <v>=SUMIF($B$4:$B$12,A24,$D$4:$D$12)</v>
      </c>
    </row>
    <row r="25" spans="1:6" x14ac:dyDescent="0.25">
      <c r="A25" s="3" t="s">
        <v>7</v>
      </c>
      <c r="B25" s="4">
        <f t="shared" si="2"/>
        <v>35</v>
      </c>
      <c r="C25" s="3" t="s">
        <v>15</v>
      </c>
      <c r="D25" s="3">
        <v>35</v>
      </c>
      <c r="F25" t="str">
        <f t="shared" ca="1" si="3"/>
        <v>=SUMIF($B$4:$B$12,A25,$D$4:$D$12)</v>
      </c>
    </row>
    <row r="27" spans="1:6" x14ac:dyDescent="0.25">
      <c r="A27" s="16" t="s">
        <v>16</v>
      </c>
      <c r="B27" s="17">
        <f>SUMPRODUCT(C4:C12,D4:D12)</f>
        <v>1610</v>
      </c>
      <c r="C27" t="str">
        <f ca="1">_xlfn.FORMULATEXT(B27)</f>
        <v>=SUMPRODUCT(C4:C12,D4:D12)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652ED-71D1-4D91-AE94-E2CF3984D2D6}">
  <dimension ref="A1:H22"/>
  <sheetViews>
    <sheetView zoomScale="90" zoomScaleNormal="90" workbookViewId="0">
      <selection activeCell="XEM21" sqref="XEM21"/>
    </sheetView>
  </sheetViews>
  <sheetFormatPr defaultRowHeight="15" x14ac:dyDescent="0.25"/>
  <cols>
    <col min="1" max="1" width="15.28515625" customWidth="1"/>
    <col min="2" max="2" width="10.7109375" customWidth="1"/>
  </cols>
  <sheetData>
    <row r="1" spans="1:8" ht="15.75" x14ac:dyDescent="0.25">
      <c r="A1" s="18" t="s">
        <v>17</v>
      </c>
    </row>
    <row r="2" spans="1:8" x14ac:dyDescent="0.25">
      <c r="A2" t="s">
        <v>18</v>
      </c>
    </row>
    <row r="3" spans="1:8" x14ac:dyDescent="0.25">
      <c r="B3" t="s">
        <v>19</v>
      </c>
    </row>
    <row r="4" spans="1:8" x14ac:dyDescent="0.25">
      <c r="A4" s="3"/>
      <c r="B4" s="6" t="s">
        <v>20</v>
      </c>
      <c r="C4" s="6" t="s">
        <v>21</v>
      </c>
      <c r="D4" s="6" t="s">
        <v>22</v>
      </c>
      <c r="E4" s="6" t="s">
        <v>23</v>
      </c>
    </row>
    <row r="5" spans="1:8" x14ac:dyDescent="0.25">
      <c r="A5" s="5" t="s">
        <v>24</v>
      </c>
      <c r="B5" s="19">
        <v>1500</v>
      </c>
      <c r="C5" s="19">
        <v>1730</v>
      </c>
      <c r="D5" s="19">
        <v>1940</v>
      </c>
      <c r="E5" s="19">
        <v>2070</v>
      </c>
    </row>
    <row r="6" spans="1:8" x14ac:dyDescent="0.25">
      <c r="A6" s="5" t="s">
        <v>25</v>
      </c>
      <c r="B6" s="19">
        <v>460</v>
      </c>
      <c r="C6" s="19">
        <v>810</v>
      </c>
      <c r="D6" s="19">
        <v>1020</v>
      </c>
      <c r="E6" s="19">
        <v>1270</v>
      </c>
    </row>
    <row r="7" spans="1:8" x14ac:dyDescent="0.25">
      <c r="A7" s="5" t="s">
        <v>26</v>
      </c>
      <c r="B7" s="19">
        <v>1500</v>
      </c>
      <c r="C7" s="19">
        <v>1850</v>
      </c>
      <c r="D7" s="19">
        <v>2080</v>
      </c>
      <c r="E7" s="19" t="s">
        <v>27</v>
      </c>
    </row>
    <row r="8" spans="1:8" x14ac:dyDescent="0.25">
      <c r="A8" s="5" t="s">
        <v>28</v>
      </c>
      <c r="B8" s="19">
        <v>960</v>
      </c>
      <c r="C8" s="19">
        <v>610</v>
      </c>
      <c r="D8" s="19">
        <v>400</v>
      </c>
      <c r="E8" s="19">
        <v>330</v>
      </c>
    </row>
    <row r="10" spans="1:8" x14ac:dyDescent="0.25">
      <c r="A10" s="20" t="s">
        <v>29</v>
      </c>
    </row>
    <row r="11" spans="1:8" x14ac:dyDescent="0.25">
      <c r="B11" t="s">
        <v>19</v>
      </c>
    </row>
    <row r="12" spans="1:8" x14ac:dyDescent="0.25">
      <c r="A12" s="3"/>
      <c r="B12" s="6" t="s">
        <v>20</v>
      </c>
      <c r="C12" s="6" t="s">
        <v>21</v>
      </c>
      <c r="D12" s="6" t="s">
        <v>22</v>
      </c>
      <c r="E12" s="6" t="s">
        <v>23</v>
      </c>
      <c r="F12" s="21" t="s">
        <v>30</v>
      </c>
      <c r="G12" s="6" t="s">
        <v>10</v>
      </c>
      <c r="H12" s="22" t="s">
        <v>31</v>
      </c>
    </row>
    <row r="13" spans="1:8" x14ac:dyDescent="0.25">
      <c r="A13" s="5" t="s">
        <v>24</v>
      </c>
      <c r="B13" s="23">
        <v>0</v>
      </c>
      <c r="C13" s="23">
        <v>0</v>
      </c>
      <c r="D13" s="23">
        <v>1</v>
      </c>
      <c r="E13" s="23">
        <v>0</v>
      </c>
      <c r="F13" s="13">
        <f>SUM(B13:E13)</f>
        <v>1</v>
      </c>
      <c r="G13" s="13" t="s">
        <v>15</v>
      </c>
      <c r="H13" s="13">
        <v>1</v>
      </c>
    </row>
    <row r="14" spans="1:8" x14ac:dyDescent="0.25">
      <c r="A14" s="5" t="s">
        <v>25</v>
      </c>
      <c r="B14" s="23">
        <v>0</v>
      </c>
      <c r="C14" s="23">
        <v>1</v>
      </c>
      <c r="D14" s="23">
        <v>0</v>
      </c>
      <c r="E14" s="23">
        <v>0</v>
      </c>
      <c r="F14" s="13">
        <f t="shared" ref="F14:F16" si="0">SUM(B14:E14)</f>
        <v>1</v>
      </c>
      <c r="G14" s="13" t="s">
        <v>15</v>
      </c>
      <c r="H14" s="13">
        <v>1</v>
      </c>
    </row>
    <row r="15" spans="1:8" x14ac:dyDescent="0.25">
      <c r="A15" s="5" t="s">
        <v>26</v>
      </c>
      <c r="B15" s="23">
        <v>1</v>
      </c>
      <c r="C15" s="23">
        <v>0</v>
      </c>
      <c r="D15" s="23">
        <v>0</v>
      </c>
      <c r="E15" s="23">
        <v>0</v>
      </c>
      <c r="F15" s="13">
        <f t="shared" si="0"/>
        <v>1</v>
      </c>
      <c r="G15" s="13" t="s">
        <v>15</v>
      </c>
      <c r="H15" s="13">
        <v>1</v>
      </c>
    </row>
    <row r="16" spans="1:8" x14ac:dyDescent="0.25">
      <c r="A16" s="5" t="s">
        <v>28</v>
      </c>
      <c r="B16" s="23">
        <v>0</v>
      </c>
      <c r="C16" s="23">
        <v>0</v>
      </c>
      <c r="D16" s="23">
        <v>0</v>
      </c>
      <c r="E16" s="23">
        <v>1</v>
      </c>
      <c r="F16" s="13">
        <f t="shared" si="0"/>
        <v>1</v>
      </c>
      <c r="G16" s="13" t="s">
        <v>15</v>
      </c>
      <c r="H16" s="13">
        <v>1</v>
      </c>
    </row>
    <row r="17" spans="1:5" x14ac:dyDescent="0.25">
      <c r="A17" s="24" t="s">
        <v>30</v>
      </c>
      <c r="B17" s="13">
        <f>SUM(B13:B16)</f>
        <v>1</v>
      </c>
      <c r="C17" s="13">
        <f t="shared" ref="C17:E17" si="1">SUM(C13:C16)</f>
        <v>1</v>
      </c>
      <c r="D17" s="13">
        <f t="shared" si="1"/>
        <v>1</v>
      </c>
      <c r="E17" s="13">
        <f t="shared" si="1"/>
        <v>1</v>
      </c>
    </row>
    <row r="18" spans="1:5" x14ac:dyDescent="0.25">
      <c r="B18" s="13" t="s">
        <v>15</v>
      </c>
      <c r="C18" s="13" t="s">
        <v>15</v>
      </c>
      <c r="D18" s="13" t="s">
        <v>15</v>
      </c>
      <c r="E18" s="13" t="s">
        <v>15</v>
      </c>
    </row>
    <row r="19" spans="1:5" x14ac:dyDescent="0.25">
      <c r="B19" s="13">
        <v>1</v>
      </c>
      <c r="C19" s="13">
        <v>1</v>
      </c>
      <c r="D19" s="13">
        <v>1</v>
      </c>
      <c r="E19" s="13">
        <v>1</v>
      </c>
    </row>
    <row r="21" spans="1:5" x14ac:dyDescent="0.25">
      <c r="A21" s="10" t="s">
        <v>32</v>
      </c>
    </row>
    <row r="22" spans="1:5" x14ac:dyDescent="0.25">
      <c r="A22" t="s">
        <v>33</v>
      </c>
      <c r="B22" s="25">
        <f>SUMPRODUCT(B5:E8,B13:E16)</f>
        <v>4580</v>
      </c>
      <c r="D22" t="str">
        <f ca="1">_xlfn.FORMULATEXT(B22)</f>
        <v>=SUMPRODUCT(B5:E8,B13:E16)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55E15-D58B-48D6-B706-9E2B392BF108}">
  <dimension ref="A1:H19"/>
  <sheetViews>
    <sheetView workbookViewId="0">
      <selection activeCell="XEM21" sqref="XEM21"/>
    </sheetView>
  </sheetViews>
  <sheetFormatPr defaultRowHeight="15" x14ac:dyDescent="0.25"/>
  <cols>
    <col min="1" max="1" width="17.5703125" customWidth="1"/>
    <col min="2" max="2" width="10.7109375" bestFit="1" customWidth="1"/>
    <col min="3" max="5" width="10.28515625" bestFit="1" customWidth="1"/>
  </cols>
  <sheetData>
    <row r="1" spans="1:8" x14ac:dyDescent="0.25">
      <c r="A1" t="s">
        <v>34</v>
      </c>
    </row>
    <row r="3" spans="1:8" x14ac:dyDescent="0.25">
      <c r="A3" t="s">
        <v>35</v>
      </c>
      <c r="C3" t="s">
        <v>36</v>
      </c>
      <c r="H3" t="s">
        <v>37</v>
      </c>
    </row>
    <row r="4" spans="1:8" x14ac:dyDescent="0.25">
      <c r="A4" s="3"/>
      <c r="B4" s="6" t="s">
        <v>38</v>
      </c>
      <c r="C4" s="6" t="s">
        <v>39</v>
      </c>
      <c r="D4" s="6" t="s">
        <v>40</v>
      </c>
      <c r="E4" s="6" t="s">
        <v>41</v>
      </c>
    </row>
    <row r="5" spans="1:8" x14ac:dyDescent="0.25">
      <c r="A5" s="5" t="s">
        <v>42</v>
      </c>
      <c r="B5" s="26">
        <v>800</v>
      </c>
      <c r="C5" s="26">
        <v>1100</v>
      </c>
      <c r="D5" s="26">
        <v>1200</v>
      </c>
      <c r="E5" s="26">
        <v>1000</v>
      </c>
    </row>
    <row r="6" spans="1:8" x14ac:dyDescent="0.25">
      <c r="A6" s="5" t="s">
        <v>43</v>
      </c>
      <c r="B6" s="26">
        <v>500</v>
      </c>
      <c r="C6" s="26">
        <v>1600</v>
      </c>
      <c r="D6" s="26">
        <v>1300</v>
      </c>
      <c r="E6" s="26">
        <v>800</v>
      </c>
    </row>
    <row r="7" spans="1:8" x14ac:dyDescent="0.25">
      <c r="A7" s="5" t="s">
        <v>44</v>
      </c>
      <c r="B7" s="26">
        <v>500</v>
      </c>
      <c r="C7" s="26">
        <v>1000</v>
      </c>
      <c r="D7" s="26">
        <v>2300</v>
      </c>
      <c r="E7" s="26">
        <v>1500</v>
      </c>
    </row>
    <row r="10" spans="1:8" x14ac:dyDescent="0.25">
      <c r="A10" t="s">
        <v>45</v>
      </c>
      <c r="C10" t="s">
        <v>36</v>
      </c>
    </row>
    <row r="11" spans="1:8" x14ac:dyDescent="0.25">
      <c r="A11" s="3"/>
      <c r="B11" s="6" t="s">
        <v>38</v>
      </c>
      <c r="C11" s="6" t="s">
        <v>39</v>
      </c>
      <c r="D11" s="6" t="s">
        <v>40</v>
      </c>
      <c r="E11" s="6" t="s">
        <v>41</v>
      </c>
      <c r="F11" s="21" t="s">
        <v>30</v>
      </c>
      <c r="G11" s="6" t="s">
        <v>10</v>
      </c>
      <c r="H11" s="22" t="s">
        <v>31</v>
      </c>
    </row>
    <row r="12" spans="1:8" x14ac:dyDescent="0.25">
      <c r="A12" s="5" t="s">
        <v>42</v>
      </c>
      <c r="B12" s="27">
        <v>0</v>
      </c>
      <c r="C12" s="27">
        <v>1</v>
      </c>
      <c r="D12" s="27">
        <v>0</v>
      </c>
      <c r="E12" s="27">
        <v>0</v>
      </c>
      <c r="F12" s="3">
        <f>SUM(B12:E12)</f>
        <v>1</v>
      </c>
      <c r="G12" s="3" t="s">
        <v>15</v>
      </c>
      <c r="H12" s="3">
        <v>1</v>
      </c>
    </row>
    <row r="13" spans="1:8" x14ac:dyDescent="0.25">
      <c r="A13" s="5" t="s">
        <v>43</v>
      </c>
      <c r="B13" s="27">
        <v>0</v>
      </c>
      <c r="C13" s="27">
        <v>0</v>
      </c>
      <c r="D13" s="27">
        <v>0</v>
      </c>
      <c r="E13" s="27">
        <v>1</v>
      </c>
      <c r="F13" s="3">
        <f t="shared" ref="F13:F14" si="0">SUM(B13:E13)</f>
        <v>1</v>
      </c>
      <c r="G13" s="3" t="s">
        <v>15</v>
      </c>
      <c r="H13" s="3">
        <v>1</v>
      </c>
    </row>
    <row r="14" spans="1:8" x14ac:dyDescent="0.25">
      <c r="A14" s="5" t="s">
        <v>44</v>
      </c>
      <c r="B14" s="27">
        <v>1</v>
      </c>
      <c r="C14" s="27">
        <v>0</v>
      </c>
      <c r="D14" s="27">
        <v>0</v>
      </c>
      <c r="E14" s="27">
        <v>0</v>
      </c>
      <c r="F14" s="3">
        <f t="shared" si="0"/>
        <v>1</v>
      </c>
      <c r="G14" s="3" t="s">
        <v>15</v>
      </c>
      <c r="H14" s="3">
        <v>1</v>
      </c>
    </row>
    <row r="15" spans="1:8" x14ac:dyDescent="0.25">
      <c r="A15" s="10" t="s">
        <v>46</v>
      </c>
      <c r="B15" s="4">
        <f>SUM(B12:B14)</f>
        <v>1</v>
      </c>
      <c r="C15" s="4">
        <f t="shared" ref="C15:E15" si="1">SUM(C12:C14)</f>
        <v>1</v>
      </c>
      <c r="D15" s="4">
        <f t="shared" si="1"/>
        <v>0</v>
      </c>
      <c r="E15" s="4">
        <f t="shared" si="1"/>
        <v>1</v>
      </c>
    </row>
    <row r="16" spans="1:8" x14ac:dyDescent="0.25">
      <c r="B16" s="4" t="s">
        <v>12</v>
      </c>
      <c r="C16" s="4" t="s">
        <v>12</v>
      </c>
      <c r="D16" s="4" t="s">
        <v>12</v>
      </c>
      <c r="E16" s="4" t="s">
        <v>12</v>
      </c>
    </row>
    <row r="17" spans="1:5" x14ac:dyDescent="0.25">
      <c r="B17" s="4">
        <v>1</v>
      </c>
      <c r="C17" s="4">
        <v>1</v>
      </c>
      <c r="D17" s="4">
        <v>1</v>
      </c>
      <c r="E17" s="4">
        <v>1</v>
      </c>
    </row>
    <row r="19" spans="1:5" x14ac:dyDescent="0.25">
      <c r="A19" s="10" t="s">
        <v>47</v>
      </c>
      <c r="B19" s="28">
        <f>SUMPRODUCT(B5:E7,B12:E14)</f>
        <v>2400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CE255-B8D9-447B-9C91-E32922226660}">
  <dimension ref="A1:H21"/>
  <sheetViews>
    <sheetView workbookViewId="0">
      <selection activeCell="XEM21" sqref="XEM21"/>
    </sheetView>
  </sheetViews>
  <sheetFormatPr defaultRowHeight="15" x14ac:dyDescent="0.25"/>
  <cols>
    <col min="1" max="1" width="11.42578125" customWidth="1"/>
    <col min="3" max="3" width="13" customWidth="1"/>
    <col min="5" max="5" width="10.42578125" customWidth="1"/>
  </cols>
  <sheetData>
    <row r="1" spans="1:8" x14ac:dyDescent="0.25">
      <c r="A1" s="29" t="s">
        <v>48</v>
      </c>
    </row>
    <row r="3" spans="1:8" x14ac:dyDescent="0.25">
      <c r="A3" t="s">
        <v>49</v>
      </c>
    </row>
    <row r="4" spans="1:8" x14ac:dyDescent="0.25">
      <c r="A4" s="30"/>
      <c r="B4" s="31" t="s">
        <v>50</v>
      </c>
      <c r="C4" s="31" t="s">
        <v>51</v>
      </c>
      <c r="D4" s="31" t="s">
        <v>52</v>
      </c>
      <c r="E4" s="31" t="s">
        <v>53</v>
      </c>
    </row>
    <row r="5" spans="1:8" x14ac:dyDescent="0.25">
      <c r="A5" s="32" t="s">
        <v>54</v>
      </c>
      <c r="B5" s="33">
        <v>80</v>
      </c>
      <c r="C5" s="33">
        <v>85</v>
      </c>
      <c r="D5" s="33">
        <v>95</v>
      </c>
      <c r="E5" s="33">
        <v>40</v>
      </c>
    </row>
    <row r="6" spans="1:8" x14ac:dyDescent="0.25">
      <c r="A6" s="32" t="s">
        <v>55</v>
      </c>
      <c r="B6" s="33">
        <v>85</v>
      </c>
      <c r="C6" s="33">
        <v>30</v>
      </c>
      <c r="D6" s="33">
        <v>75</v>
      </c>
      <c r="E6" s="33">
        <v>65</v>
      </c>
    </row>
    <row r="7" spans="1:8" x14ac:dyDescent="0.25">
      <c r="A7" s="32" t="s">
        <v>56</v>
      </c>
      <c r="B7" s="33">
        <v>90</v>
      </c>
      <c r="C7" s="33">
        <v>55</v>
      </c>
      <c r="D7" s="33">
        <v>80</v>
      </c>
      <c r="E7" s="33">
        <v>70</v>
      </c>
    </row>
    <row r="8" spans="1:8" x14ac:dyDescent="0.25">
      <c r="A8" s="32" t="s">
        <v>57</v>
      </c>
      <c r="B8" s="33">
        <v>55</v>
      </c>
      <c r="C8" s="33">
        <v>80</v>
      </c>
      <c r="D8" s="33">
        <v>65</v>
      </c>
      <c r="E8" s="33">
        <v>50</v>
      </c>
    </row>
    <row r="11" spans="1:8" x14ac:dyDescent="0.25">
      <c r="A11" s="30"/>
      <c r="B11" s="31" t="s">
        <v>50</v>
      </c>
      <c r="C11" s="31" t="s">
        <v>51</v>
      </c>
      <c r="D11" s="31" t="s">
        <v>52</v>
      </c>
      <c r="E11" s="31" t="s">
        <v>53</v>
      </c>
      <c r="F11" s="21" t="s">
        <v>30</v>
      </c>
      <c r="G11" s="6" t="s">
        <v>10</v>
      </c>
      <c r="H11" s="22" t="s">
        <v>31</v>
      </c>
    </row>
    <row r="12" spans="1:8" x14ac:dyDescent="0.25">
      <c r="A12" s="32" t="s">
        <v>54</v>
      </c>
      <c r="B12" s="34">
        <v>0</v>
      </c>
      <c r="C12" s="34">
        <v>0</v>
      </c>
      <c r="D12" s="34">
        <v>1</v>
      </c>
      <c r="E12" s="34">
        <v>0</v>
      </c>
      <c r="F12" s="13">
        <f>SUM(B12:E12)</f>
        <v>1</v>
      </c>
      <c r="G12" s="13" t="s">
        <v>15</v>
      </c>
      <c r="H12" s="13">
        <v>1</v>
      </c>
    </row>
    <row r="13" spans="1:8" x14ac:dyDescent="0.25">
      <c r="A13" s="32" t="s">
        <v>55</v>
      </c>
      <c r="B13" s="34">
        <v>1</v>
      </c>
      <c r="C13" s="34">
        <v>0</v>
      </c>
      <c r="D13" s="34">
        <v>0</v>
      </c>
      <c r="E13" s="34">
        <v>0</v>
      </c>
      <c r="F13" s="13">
        <f t="shared" ref="F13:F15" si="0">SUM(B13:E13)</f>
        <v>1</v>
      </c>
      <c r="G13" s="13" t="s">
        <v>15</v>
      </c>
      <c r="H13" s="13">
        <v>1</v>
      </c>
    </row>
    <row r="14" spans="1:8" x14ac:dyDescent="0.25">
      <c r="A14" s="32" t="s">
        <v>56</v>
      </c>
      <c r="B14" s="34">
        <v>0</v>
      </c>
      <c r="C14" s="34">
        <v>0</v>
      </c>
      <c r="D14" s="34">
        <v>0</v>
      </c>
      <c r="E14" s="34">
        <v>1</v>
      </c>
      <c r="F14" s="13">
        <f t="shared" si="0"/>
        <v>1</v>
      </c>
      <c r="G14" s="13" t="s">
        <v>15</v>
      </c>
      <c r="H14" s="13">
        <v>1</v>
      </c>
    </row>
    <row r="15" spans="1:8" x14ac:dyDescent="0.25">
      <c r="A15" s="32" t="s">
        <v>57</v>
      </c>
      <c r="B15" s="34">
        <v>0</v>
      </c>
      <c r="C15" s="34">
        <v>1</v>
      </c>
      <c r="D15" s="34">
        <v>0</v>
      </c>
      <c r="E15" s="34">
        <v>0</v>
      </c>
      <c r="F15" s="13">
        <f t="shared" si="0"/>
        <v>1</v>
      </c>
      <c r="G15" s="13" t="s">
        <v>15</v>
      </c>
      <c r="H15" s="13">
        <v>1</v>
      </c>
    </row>
    <row r="16" spans="1:8" x14ac:dyDescent="0.25">
      <c r="A16" s="35" t="s">
        <v>30</v>
      </c>
      <c r="B16" s="13">
        <f>SUM(B12:B15)</f>
        <v>1</v>
      </c>
      <c r="C16" s="13">
        <f t="shared" ref="C16:E16" si="1">SUM(C12:C15)</f>
        <v>1</v>
      </c>
      <c r="D16" s="13">
        <f t="shared" si="1"/>
        <v>1</v>
      </c>
      <c r="E16" s="13">
        <f t="shared" si="1"/>
        <v>1</v>
      </c>
      <c r="F16" s="11"/>
      <c r="G16" s="11"/>
      <c r="H16" s="11"/>
    </row>
    <row r="17" spans="1:8" x14ac:dyDescent="0.25">
      <c r="B17" s="13" t="s">
        <v>15</v>
      </c>
      <c r="C17" s="13" t="s">
        <v>15</v>
      </c>
      <c r="D17" s="13" t="s">
        <v>15</v>
      </c>
      <c r="E17" s="13" t="s">
        <v>15</v>
      </c>
      <c r="F17" s="11"/>
      <c r="G17" s="11"/>
      <c r="H17" s="11"/>
    </row>
    <row r="18" spans="1:8" x14ac:dyDescent="0.25">
      <c r="B18" s="13">
        <v>1</v>
      </c>
      <c r="C18" s="13">
        <v>1</v>
      </c>
      <c r="D18" s="13">
        <v>1</v>
      </c>
      <c r="E18" s="13">
        <v>1</v>
      </c>
      <c r="F18" s="11"/>
      <c r="G18" s="11"/>
      <c r="H18" s="11"/>
    </row>
    <row r="20" spans="1:8" x14ac:dyDescent="0.25">
      <c r="A20" t="s">
        <v>58</v>
      </c>
    </row>
    <row r="21" spans="1:8" x14ac:dyDescent="0.25">
      <c r="A21" s="11" t="s">
        <v>59</v>
      </c>
      <c r="B21" s="36">
        <f>SUMPRODUCT(B5:E8,B12:E15)</f>
        <v>330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Basketball jersey</vt:lpstr>
      <vt:lpstr>MLB Umpire Assignment</vt:lpstr>
      <vt:lpstr>New Hire Assignments</vt:lpstr>
      <vt:lpstr>college’s business department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 Zainab Adedimeji</dc:creator>
  <cp:lastModifiedBy>Joy Zainab Adedimeji</cp:lastModifiedBy>
  <dcterms:created xsi:type="dcterms:W3CDTF">2025-12-27T23:26:36Z</dcterms:created>
  <dcterms:modified xsi:type="dcterms:W3CDTF">2025-12-27T23:26:53Z</dcterms:modified>
</cp:coreProperties>
</file>